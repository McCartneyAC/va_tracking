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S:\DIRECT AID\ASR\ASR Tables\2017-2018 ASR Tables\Table 15\Final\"/>
    </mc:Choice>
  </mc:AlternateContent>
  <bookViews>
    <workbookView xWindow="0" yWindow="-60" windowWidth="19230" windowHeight="7590" tabRatio="790"/>
  </bookViews>
  <sheets>
    <sheet name="FY 2018 TABLE 15" sheetId="17" r:id="rId1"/>
    <sheet name="Fiscal Year 2018 Worksheet" sheetId="19" r:id="rId2"/>
    <sheet name="Fiscal Year 2019 Worksheet" sheetId="14" r:id="rId3"/>
    <sheet name="Fiscal Year 2020 Worksheet" sheetId="16" r:id="rId4"/>
    <sheet name="Division Source" sheetId="11" state="hidden" r:id="rId5"/>
    <sheet name="Source Data" sheetId="22" state="hidden" r:id="rId6"/>
  </sheets>
  <functionGroups builtInGroupCount="18"/>
  <definedNames>
    <definedName name="_xlnm._FilterDatabase" localSheetId="5" hidden="1">'Source Data'!$AI$1:$AM$138</definedName>
    <definedName name="Comparison" hidden="1">{"'do017lst'!$A$1:$D$267"}</definedName>
    <definedName name="HTML_Cntrl" hidden="1">{"'do017lst'!$A$1:$D$267"}</definedName>
    <definedName name="HTML_CodePage" hidden="1">1252</definedName>
    <definedName name="HTML_Control" localSheetId="1" hidden="1">{"'do017lst'!$A$1:$D$267"}</definedName>
    <definedName name="HTML_Control" localSheetId="5" hidden="1">{"'do017lst'!$A$1:$D$267"}</definedName>
    <definedName name="HTML_Control" hidden="1">{"'do017lst'!$A$1:$D$267"}</definedName>
    <definedName name="HTML_Description" hidden="1">"1998 - 1999 Dropout Statistics"</definedName>
    <definedName name="HTML_Email" hidden="1">""</definedName>
    <definedName name="HTML_Header" hidden="1">"Virginia Department of Education"</definedName>
    <definedName name="HTML_LastUpdate" hidden="1">"2/3/2000"</definedName>
    <definedName name="HTML_LineAfter" hidden="1">FALSE</definedName>
    <definedName name="HTML_LineBefore" hidden="1">FALSE</definedName>
    <definedName name="HTML_Name" hidden="1">"Virginia Dept. of Education"</definedName>
    <definedName name="HTML_OBDlg2" hidden="1">TRUE</definedName>
    <definedName name="HTML_OBDlg4" hidden="1">TRUE</definedName>
    <definedName name="HTML_OS" hidden="1">0</definedName>
    <definedName name="HTML_PathFile" hidden="1">"H:\adhoc\dropouts\1998 repts\do9899.htm"</definedName>
    <definedName name="HTML_Title" hidden="1">"Va Dept of Education -- Dropouts"</definedName>
    <definedName name="htmll_cntrl" hidden="1">{"'do017lst'!$A$1:$D$267"}</definedName>
    <definedName name="_xlnm.Print_Area" localSheetId="1">'Fiscal Year 2018 Worksheet'!$A$1:$H$69</definedName>
    <definedName name="_xlnm.Print_Area" localSheetId="2">'Fiscal Year 2019 Worksheet'!$A$1:$H$69</definedName>
    <definedName name="_xlnm.Print_Area" localSheetId="3">'Fiscal Year 2020 Worksheet'!$A$1:$H$69</definedName>
    <definedName name="_xlnm.Print_Area" localSheetId="0">'FY 2018 TABLE 15'!$A$1:$M$155</definedName>
    <definedName name="_xlnm.Print_Titles" localSheetId="0">'FY 2018 TABLE 15'!$1:$9</definedName>
  </definedNames>
  <calcPr calcId="162913"/>
</workbook>
</file>

<file path=xl/calcChain.xml><?xml version="1.0" encoding="utf-8"?>
<calcChain xmlns="http://schemas.openxmlformats.org/spreadsheetml/2006/main">
  <c r="AF141" i="22" l="1"/>
  <c r="AB141" i="22"/>
  <c r="AB140" i="22"/>
  <c r="H146" i="17" l="1"/>
  <c r="Q138" i="22" l="1"/>
  <c r="I37" i="19" l="1"/>
  <c r="AK140" i="22" l="1"/>
  <c r="AF140" i="22"/>
  <c r="T137" i="22"/>
  <c r="S137" i="22"/>
  <c r="T136" i="22"/>
  <c r="S136" i="22"/>
  <c r="T135" i="22"/>
  <c r="S135" i="22"/>
  <c r="T134" i="22"/>
  <c r="S134" i="22"/>
  <c r="T133" i="22"/>
  <c r="S133" i="22"/>
  <c r="T131" i="22"/>
  <c r="S131" i="22"/>
  <c r="T129" i="22"/>
  <c r="S129" i="22"/>
  <c r="T128" i="22"/>
  <c r="S128" i="22"/>
  <c r="T127" i="22"/>
  <c r="S127" i="22"/>
  <c r="T125" i="22"/>
  <c r="S125" i="22"/>
  <c r="T124" i="22"/>
  <c r="S124" i="22"/>
  <c r="T123" i="22"/>
  <c r="S123" i="22"/>
  <c r="T122" i="22"/>
  <c r="S122" i="22"/>
  <c r="T121" i="22"/>
  <c r="S121" i="22"/>
  <c r="T120" i="22"/>
  <c r="S120" i="22"/>
  <c r="T119" i="22"/>
  <c r="S119" i="22"/>
  <c r="T118" i="22"/>
  <c r="S118" i="22"/>
  <c r="T117" i="22"/>
  <c r="S117" i="22"/>
  <c r="T116" i="22"/>
  <c r="S116" i="22"/>
  <c r="T115" i="22"/>
  <c r="S115" i="22"/>
  <c r="T114" i="22"/>
  <c r="S114" i="22"/>
  <c r="T113" i="22"/>
  <c r="S113" i="22"/>
  <c r="T112" i="22"/>
  <c r="S112" i="22"/>
  <c r="T111" i="22"/>
  <c r="S111" i="22"/>
  <c r="T110" i="22"/>
  <c r="S110" i="22"/>
  <c r="T109" i="22"/>
  <c r="S109" i="22"/>
  <c r="T108" i="22"/>
  <c r="S108" i="22"/>
  <c r="T107" i="22"/>
  <c r="S107" i="22"/>
  <c r="T106" i="22"/>
  <c r="S106" i="22"/>
  <c r="T105" i="22"/>
  <c r="S105" i="22"/>
  <c r="T104" i="22"/>
  <c r="S104" i="22"/>
  <c r="T103" i="22"/>
  <c r="S103" i="22"/>
  <c r="T102" i="22"/>
  <c r="S102" i="22"/>
  <c r="T101" i="22"/>
  <c r="S101" i="22"/>
  <c r="T100" i="22"/>
  <c r="S100" i="22"/>
  <c r="T99" i="22"/>
  <c r="S99" i="22"/>
  <c r="T98" i="22"/>
  <c r="S98" i="22"/>
  <c r="T97" i="22"/>
  <c r="S97" i="22"/>
  <c r="T96" i="22"/>
  <c r="S96" i="22"/>
  <c r="T95" i="22"/>
  <c r="S95" i="22"/>
  <c r="T94" i="22"/>
  <c r="S94" i="22"/>
  <c r="T93" i="22"/>
  <c r="S93" i="22"/>
  <c r="T92" i="22"/>
  <c r="S92" i="22"/>
  <c r="T91" i="22"/>
  <c r="S91" i="22"/>
  <c r="T90" i="22"/>
  <c r="S90" i="22"/>
  <c r="T89" i="22"/>
  <c r="S89" i="22"/>
  <c r="T88" i="22"/>
  <c r="S88" i="22"/>
  <c r="T87" i="22"/>
  <c r="S87" i="22"/>
  <c r="T86" i="22"/>
  <c r="S86" i="22"/>
  <c r="T85" i="22"/>
  <c r="S85" i="22"/>
  <c r="T84" i="22"/>
  <c r="S84" i="22"/>
  <c r="T83" i="22"/>
  <c r="S83" i="22"/>
  <c r="T82" i="22"/>
  <c r="S82" i="22"/>
  <c r="T81" i="22"/>
  <c r="S81" i="22"/>
  <c r="T80" i="22"/>
  <c r="S80" i="22"/>
  <c r="T79" i="22"/>
  <c r="S79" i="22"/>
  <c r="T78" i="22"/>
  <c r="S78" i="22"/>
  <c r="T77" i="22"/>
  <c r="S77" i="22"/>
  <c r="T76" i="22"/>
  <c r="S76" i="22"/>
  <c r="T75" i="22"/>
  <c r="S75" i="22"/>
  <c r="T74" i="22"/>
  <c r="S74" i="22"/>
  <c r="T73" i="22"/>
  <c r="S73" i="22"/>
  <c r="T72" i="22"/>
  <c r="S72" i="22"/>
  <c r="T71" i="22"/>
  <c r="S71" i="22"/>
  <c r="T70" i="22"/>
  <c r="S70" i="22"/>
  <c r="T69" i="22"/>
  <c r="S69" i="22"/>
  <c r="T68" i="22"/>
  <c r="S68" i="22"/>
  <c r="T67" i="22"/>
  <c r="S67" i="22"/>
  <c r="T66" i="22"/>
  <c r="S66" i="22"/>
  <c r="T65" i="22"/>
  <c r="S65" i="22"/>
  <c r="T64" i="22"/>
  <c r="S64" i="22"/>
  <c r="T63" i="22"/>
  <c r="S63" i="22"/>
  <c r="T62" i="22"/>
  <c r="S62" i="22"/>
  <c r="T61" i="22"/>
  <c r="S61" i="22"/>
  <c r="T60" i="22"/>
  <c r="S60" i="22"/>
  <c r="T59" i="22"/>
  <c r="S59" i="22"/>
  <c r="T58" i="22"/>
  <c r="S58" i="22"/>
  <c r="T57" i="22"/>
  <c r="S57" i="22"/>
  <c r="T56" i="22"/>
  <c r="S56" i="22"/>
  <c r="T55" i="22"/>
  <c r="S55" i="22"/>
  <c r="T54" i="22"/>
  <c r="S54" i="22"/>
  <c r="T53" i="22"/>
  <c r="S53" i="22"/>
  <c r="T52" i="22"/>
  <c r="S52" i="22"/>
  <c r="T51" i="22"/>
  <c r="S51" i="22"/>
  <c r="T50" i="22"/>
  <c r="S50" i="22"/>
  <c r="T49" i="22"/>
  <c r="S49" i="22"/>
  <c r="T47" i="22"/>
  <c r="S47" i="22"/>
  <c r="T46" i="22"/>
  <c r="S46" i="22"/>
  <c r="T45" i="22"/>
  <c r="S45" i="22"/>
  <c r="T44" i="22"/>
  <c r="S44" i="22"/>
  <c r="T43" i="22"/>
  <c r="S43" i="22"/>
  <c r="T42" i="22"/>
  <c r="S42" i="22"/>
  <c r="T41" i="22"/>
  <c r="S41" i="22"/>
  <c r="T40" i="22"/>
  <c r="S40" i="22"/>
  <c r="T39" i="22"/>
  <c r="S39" i="22"/>
  <c r="T38" i="22"/>
  <c r="S38" i="22"/>
  <c r="T37" i="22"/>
  <c r="S37" i="22"/>
  <c r="T36" i="22"/>
  <c r="S36" i="22"/>
  <c r="T35" i="22"/>
  <c r="S35" i="22"/>
  <c r="T34" i="22"/>
  <c r="S34" i="22"/>
  <c r="T33" i="22"/>
  <c r="S33" i="22"/>
  <c r="T32" i="22"/>
  <c r="S32" i="22"/>
  <c r="T31" i="22"/>
  <c r="S31" i="22"/>
  <c r="T30" i="22"/>
  <c r="S30" i="22"/>
  <c r="T29" i="22"/>
  <c r="S29" i="22"/>
  <c r="T28" i="22"/>
  <c r="S28" i="22"/>
  <c r="T27" i="22"/>
  <c r="S27" i="22"/>
  <c r="T26" i="22"/>
  <c r="S26" i="22"/>
  <c r="T25" i="22"/>
  <c r="S25" i="22"/>
  <c r="T24" i="22"/>
  <c r="S24" i="22"/>
  <c r="T23" i="22"/>
  <c r="S23" i="22"/>
  <c r="T22" i="22"/>
  <c r="S22" i="22"/>
  <c r="T21" i="22"/>
  <c r="S21" i="22"/>
  <c r="T20" i="22"/>
  <c r="S20" i="22"/>
  <c r="T19" i="22"/>
  <c r="S19" i="22"/>
  <c r="T18" i="22"/>
  <c r="S18" i="22"/>
  <c r="T17" i="22"/>
  <c r="S17" i="22"/>
  <c r="T16" i="22"/>
  <c r="S16" i="22"/>
  <c r="T15" i="22"/>
  <c r="S15" i="22"/>
  <c r="T14" i="22"/>
  <c r="S14" i="22"/>
  <c r="T13" i="22"/>
  <c r="S13" i="22"/>
  <c r="T12" i="22"/>
  <c r="S12" i="22"/>
  <c r="T11" i="22"/>
  <c r="S11" i="22"/>
  <c r="T10" i="22"/>
  <c r="S10" i="22"/>
  <c r="T9" i="22"/>
  <c r="S9" i="22"/>
  <c r="T8" i="22"/>
  <c r="S8" i="22"/>
  <c r="T7" i="22"/>
  <c r="S7" i="22"/>
  <c r="T6" i="22"/>
  <c r="S6" i="22"/>
  <c r="T5" i="22"/>
  <c r="S5" i="22"/>
  <c r="T4" i="22"/>
  <c r="S4" i="22"/>
  <c r="T3" i="22"/>
  <c r="S3" i="22"/>
  <c r="T2" i="22"/>
  <c r="S2" i="22"/>
  <c r="H61" i="16"/>
  <c r="F59" i="16"/>
  <c r="H57" i="16"/>
  <c r="H53" i="16"/>
  <c r="F51" i="16"/>
  <c r="H41" i="16"/>
  <c r="H37" i="16"/>
  <c r="F35" i="16"/>
  <c r="H18" i="16"/>
  <c r="B5" i="16"/>
  <c r="A5" i="16"/>
  <c r="F39" i="16" s="1"/>
  <c r="F55" i="16" s="1"/>
  <c r="H61" i="14"/>
  <c r="H57" i="14"/>
  <c r="H53" i="14"/>
  <c r="F51" i="14"/>
  <c r="H41" i="14"/>
  <c r="H37" i="14"/>
  <c r="F35" i="14"/>
  <c r="H18" i="14"/>
  <c r="F59" i="14" s="1"/>
  <c r="B5" i="14"/>
  <c r="A5" i="14"/>
  <c r="F39" i="14" s="1"/>
  <c r="F55" i="14" s="1"/>
  <c r="AI136" i="19"/>
  <c r="AI137" i="19" s="1"/>
  <c r="AG136" i="19"/>
  <c r="AG137" i="19" s="1"/>
  <c r="AE136" i="19"/>
  <c r="AE137" i="19" s="1"/>
  <c r="AC136" i="19"/>
  <c r="AC137" i="19" s="1"/>
  <c r="AR133" i="19"/>
  <c r="AQ133" i="19"/>
  <c r="AP133" i="19"/>
  <c r="AO133" i="19"/>
  <c r="AN133" i="19"/>
  <c r="AM133" i="19"/>
  <c r="AL133" i="19"/>
  <c r="AK133" i="19"/>
  <c r="AR132" i="19"/>
  <c r="AQ132" i="19"/>
  <c r="AP132" i="19"/>
  <c r="AO132" i="19"/>
  <c r="AN132" i="19"/>
  <c r="AM132" i="19"/>
  <c r="AL132" i="19"/>
  <c r="AK132" i="19"/>
  <c r="AR131" i="19"/>
  <c r="AQ131" i="19"/>
  <c r="AP131" i="19"/>
  <c r="AO131" i="19"/>
  <c r="AN131" i="19"/>
  <c r="AM131" i="19"/>
  <c r="AL131" i="19"/>
  <c r="AK131" i="19"/>
  <c r="AR130" i="19"/>
  <c r="AQ130" i="19"/>
  <c r="AP130" i="19"/>
  <c r="AO130" i="19"/>
  <c r="AN130" i="19"/>
  <c r="AM130" i="19"/>
  <c r="AL130" i="19"/>
  <c r="AK130" i="19"/>
  <c r="AR129" i="19"/>
  <c r="AQ129" i="19"/>
  <c r="AP129" i="19"/>
  <c r="AO129" i="19"/>
  <c r="AN129" i="19"/>
  <c r="AM129" i="19"/>
  <c r="AL129" i="19"/>
  <c r="AK129" i="19"/>
  <c r="AR128" i="19"/>
  <c r="AQ128" i="19"/>
  <c r="AP128" i="19"/>
  <c r="AO128" i="19"/>
  <c r="AN128" i="19"/>
  <c r="AM128" i="19"/>
  <c r="AL128" i="19"/>
  <c r="AK128" i="19"/>
  <c r="AR127" i="19"/>
  <c r="AQ127" i="19"/>
  <c r="AP127" i="19"/>
  <c r="AO127" i="19"/>
  <c r="AN127" i="19"/>
  <c r="AM127" i="19"/>
  <c r="AL127" i="19"/>
  <c r="AK127" i="19"/>
  <c r="AR126" i="19"/>
  <c r="AQ126" i="19"/>
  <c r="AP126" i="19"/>
  <c r="AO126" i="19"/>
  <c r="AN126" i="19"/>
  <c r="AM126" i="19"/>
  <c r="AL126" i="19"/>
  <c r="AK126" i="19"/>
  <c r="AR125" i="19"/>
  <c r="AQ125" i="19"/>
  <c r="AP125" i="19"/>
  <c r="AO125" i="19"/>
  <c r="AN125" i="19"/>
  <c r="AM125" i="19"/>
  <c r="AL125" i="19"/>
  <c r="AK125" i="19"/>
  <c r="AR124" i="19"/>
  <c r="AQ124" i="19"/>
  <c r="AP124" i="19"/>
  <c r="AO124" i="19"/>
  <c r="AN124" i="19"/>
  <c r="AM124" i="19"/>
  <c r="AL124" i="19"/>
  <c r="AK124" i="19"/>
  <c r="AR123" i="19"/>
  <c r="AQ123" i="19"/>
  <c r="AP123" i="19"/>
  <c r="AO123" i="19"/>
  <c r="AN123" i="19"/>
  <c r="AM123" i="19"/>
  <c r="AL123" i="19"/>
  <c r="AK123" i="19"/>
  <c r="AR122" i="19"/>
  <c r="AQ122" i="19"/>
  <c r="AP122" i="19"/>
  <c r="AO122" i="19"/>
  <c r="AN122" i="19"/>
  <c r="AM122" i="19"/>
  <c r="AL122" i="19"/>
  <c r="AK122" i="19"/>
  <c r="AR121" i="19"/>
  <c r="AQ121" i="19"/>
  <c r="AP121" i="19"/>
  <c r="AO121" i="19"/>
  <c r="AN121" i="19"/>
  <c r="AM121" i="19"/>
  <c r="AL121" i="19"/>
  <c r="AK121" i="19"/>
  <c r="AR120" i="19"/>
  <c r="AQ120" i="19"/>
  <c r="AP120" i="19"/>
  <c r="AO120" i="19"/>
  <c r="AN120" i="19"/>
  <c r="AM120" i="19"/>
  <c r="AL120" i="19"/>
  <c r="AK120" i="19"/>
  <c r="AR119" i="19"/>
  <c r="AQ119" i="19"/>
  <c r="AP119" i="19"/>
  <c r="AO119" i="19"/>
  <c r="AN119" i="19"/>
  <c r="AM119" i="19"/>
  <c r="AL119" i="19"/>
  <c r="AK119" i="19"/>
  <c r="AR118" i="19"/>
  <c r="AQ118" i="19"/>
  <c r="AP118" i="19"/>
  <c r="AO118" i="19"/>
  <c r="AN118" i="19"/>
  <c r="AM118" i="19"/>
  <c r="AL118" i="19"/>
  <c r="AK118" i="19"/>
  <c r="AR117" i="19"/>
  <c r="AQ117" i="19"/>
  <c r="AP117" i="19"/>
  <c r="AO117" i="19"/>
  <c r="AN117" i="19"/>
  <c r="AM117" i="19"/>
  <c r="AL117" i="19"/>
  <c r="AK117" i="19"/>
  <c r="AR116" i="19"/>
  <c r="AQ116" i="19"/>
  <c r="AP116" i="19"/>
  <c r="AO116" i="19"/>
  <c r="AN116" i="19"/>
  <c r="AM116" i="19"/>
  <c r="AL116" i="19"/>
  <c r="AK116" i="19"/>
  <c r="AR115" i="19"/>
  <c r="AQ115" i="19"/>
  <c r="AP115" i="19"/>
  <c r="AO115" i="19"/>
  <c r="AN115" i="19"/>
  <c r="AM115" i="19"/>
  <c r="AL115" i="19"/>
  <c r="AK115" i="19"/>
  <c r="AR114" i="19"/>
  <c r="AQ114" i="19"/>
  <c r="AP114" i="19"/>
  <c r="AO114" i="19"/>
  <c r="AN114" i="19"/>
  <c r="AM114" i="19"/>
  <c r="AL114" i="19"/>
  <c r="AK114" i="19"/>
  <c r="AR113" i="19"/>
  <c r="AQ113" i="19"/>
  <c r="AP113" i="19"/>
  <c r="AO113" i="19"/>
  <c r="AN113" i="19"/>
  <c r="AM113" i="19"/>
  <c r="AL113" i="19"/>
  <c r="AK113" i="19"/>
  <c r="AR112" i="19"/>
  <c r="AQ112" i="19"/>
  <c r="AP112" i="19"/>
  <c r="AO112" i="19"/>
  <c r="AN112" i="19"/>
  <c r="AM112" i="19"/>
  <c r="AL112" i="19"/>
  <c r="AK112" i="19"/>
  <c r="AR111" i="19"/>
  <c r="AQ111" i="19"/>
  <c r="AP111" i="19"/>
  <c r="AO111" i="19"/>
  <c r="AN111" i="19"/>
  <c r="AM111" i="19"/>
  <c r="AL111" i="19"/>
  <c r="AK111" i="19"/>
  <c r="AR110" i="19"/>
  <c r="AQ110" i="19"/>
  <c r="AP110" i="19"/>
  <c r="AO110" i="19"/>
  <c r="AN110" i="19"/>
  <c r="AM110" i="19"/>
  <c r="AL110" i="19"/>
  <c r="AK110" i="19"/>
  <c r="AR109" i="19"/>
  <c r="AQ109" i="19"/>
  <c r="AP109" i="19"/>
  <c r="AO109" i="19"/>
  <c r="AN109" i="19"/>
  <c r="AM109" i="19"/>
  <c r="AL109" i="19"/>
  <c r="AK109" i="19"/>
  <c r="AR108" i="19"/>
  <c r="AQ108" i="19"/>
  <c r="AP108" i="19"/>
  <c r="AO108" i="19"/>
  <c r="AN108" i="19"/>
  <c r="AM108" i="19"/>
  <c r="AL108" i="19"/>
  <c r="AK108" i="19"/>
  <c r="AR107" i="19"/>
  <c r="AQ107" i="19"/>
  <c r="AP107" i="19"/>
  <c r="AO107" i="19"/>
  <c r="AN107" i="19"/>
  <c r="AM107" i="19"/>
  <c r="AL107" i="19"/>
  <c r="AK107" i="19"/>
  <c r="AR106" i="19"/>
  <c r="AQ106" i="19"/>
  <c r="AP106" i="19"/>
  <c r="AO106" i="19"/>
  <c r="AN106" i="19"/>
  <c r="AM106" i="19"/>
  <c r="AL106" i="19"/>
  <c r="AK106" i="19"/>
  <c r="AR105" i="19"/>
  <c r="AQ105" i="19"/>
  <c r="AP105" i="19"/>
  <c r="AO105" i="19"/>
  <c r="AN105" i="19"/>
  <c r="AM105" i="19"/>
  <c r="AL105" i="19"/>
  <c r="AK105" i="19"/>
  <c r="AR104" i="19"/>
  <c r="AQ104" i="19"/>
  <c r="AP104" i="19"/>
  <c r="AO104" i="19"/>
  <c r="AN104" i="19"/>
  <c r="AM104" i="19"/>
  <c r="AL104" i="19"/>
  <c r="AK104" i="19"/>
  <c r="AR103" i="19"/>
  <c r="AQ103" i="19"/>
  <c r="AP103" i="19"/>
  <c r="AO103" i="19"/>
  <c r="AN103" i="19"/>
  <c r="AM103" i="19"/>
  <c r="AL103" i="19"/>
  <c r="AK103" i="19"/>
  <c r="AR102" i="19"/>
  <c r="AQ102" i="19"/>
  <c r="AP102" i="19"/>
  <c r="AO102" i="19"/>
  <c r="AN102" i="19"/>
  <c r="AM102" i="19"/>
  <c r="AL102" i="19"/>
  <c r="AK102" i="19"/>
  <c r="AR101" i="19"/>
  <c r="AQ101" i="19"/>
  <c r="AP101" i="19"/>
  <c r="AO101" i="19"/>
  <c r="AN101" i="19"/>
  <c r="AM101" i="19"/>
  <c r="AL101" i="19"/>
  <c r="AK101" i="19"/>
  <c r="AR100" i="19"/>
  <c r="AQ100" i="19"/>
  <c r="AP100" i="19"/>
  <c r="AO100" i="19"/>
  <c r="AN100" i="19"/>
  <c r="AM100" i="19"/>
  <c r="AL100" i="19"/>
  <c r="AK100" i="19"/>
  <c r="AR99" i="19"/>
  <c r="AQ99" i="19"/>
  <c r="AP99" i="19"/>
  <c r="AO99" i="19"/>
  <c r="AN99" i="19"/>
  <c r="AM99" i="19"/>
  <c r="AL99" i="19"/>
  <c r="AK99" i="19"/>
  <c r="AR98" i="19"/>
  <c r="AQ98" i="19"/>
  <c r="AP98" i="19"/>
  <c r="AO98" i="19"/>
  <c r="AN98" i="19"/>
  <c r="AM98" i="19"/>
  <c r="AL98" i="19"/>
  <c r="AK98" i="19"/>
  <c r="AR97" i="19"/>
  <c r="AQ97" i="19"/>
  <c r="AP97" i="19"/>
  <c r="AO97" i="19"/>
  <c r="AN97" i="19"/>
  <c r="AM97" i="19"/>
  <c r="AL97" i="19"/>
  <c r="AK97" i="19"/>
  <c r="AR96" i="19"/>
  <c r="AQ96" i="19"/>
  <c r="AP96" i="19"/>
  <c r="AO96" i="19"/>
  <c r="AN96" i="19"/>
  <c r="AM96" i="19"/>
  <c r="AL96" i="19"/>
  <c r="AK96" i="19"/>
  <c r="AR95" i="19"/>
  <c r="AQ95" i="19"/>
  <c r="AP95" i="19"/>
  <c r="AO95" i="19"/>
  <c r="AN95" i="19"/>
  <c r="AM95" i="19"/>
  <c r="AL95" i="19"/>
  <c r="AK95" i="19"/>
  <c r="AR94" i="19"/>
  <c r="AQ94" i="19"/>
  <c r="AP94" i="19"/>
  <c r="AO94" i="19"/>
  <c r="AN94" i="19"/>
  <c r="AM94" i="19"/>
  <c r="AL94" i="19"/>
  <c r="AK94" i="19"/>
  <c r="AR93" i="19"/>
  <c r="AQ93" i="19"/>
  <c r="AP93" i="19"/>
  <c r="AO93" i="19"/>
  <c r="AN93" i="19"/>
  <c r="AM93" i="19"/>
  <c r="AL93" i="19"/>
  <c r="AK93" i="19"/>
  <c r="AR92" i="19"/>
  <c r="AQ92" i="19"/>
  <c r="AP92" i="19"/>
  <c r="AO92" i="19"/>
  <c r="AN92" i="19"/>
  <c r="AM92" i="19"/>
  <c r="AL92" i="19"/>
  <c r="AK92" i="19"/>
  <c r="AR91" i="19"/>
  <c r="AQ91" i="19"/>
  <c r="AP91" i="19"/>
  <c r="AO91" i="19"/>
  <c r="AN91" i="19"/>
  <c r="AM91" i="19"/>
  <c r="AL91" i="19"/>
  <c r="AK91" i="19"/>
  <c r="AR90" i="19"/>
  <c r="AQ90" i="19"/>
  <c r="AP90" i="19"/>
  <c r="AO90" i="19"/>
  <c r="AN90" i="19"/>
  <c r="AM90" i="19"/>
  <c r="AL90" i="19"/>
  <c r="AK90" i="19"/>
  <c r="AR89" i="19"/>
  <c r="AQ89" i="19"/>
  <c r="AP89" i="19"/>
  <c r="AO89" i="19"/>
  <c r="AN89" i="19"/>
  <c r="AM89" i="19"/>
  <c r="AL89" i="19"/>
  <c r="AK89" i="19"/>
  <c r="AR88" i="19"/>
  <c r="AQ88" i="19"/>
  <c r="AP88" i="19"/>
  <c r="AO88" i="19"/>
  <c r="AN88" i="19"/>
  <c r="AM88" i="19"/>
  <c r="AL88" i="19"/>
  <c r="AK88" i="19"/>
  <c r="AR87" i="19"/>
  <c r="AQ87" i="19"/>
  <c r="AP87" i="19"/>
  <c r="AO87" i="19"/>
  <c r="AN87" i="19"/>
  <c r="AM87" i="19"/>
  <c r="AL87" i="19"/>
  <c r="AK87" i="19"/>
  <c r="AR86" i="19"/>
  <c r="AQ86" i="19"/>
  <c r="AP86" i="19"/>
  <c r="AO86" i="19"/>
  <c r="AN86" i="19"/>
  <c r="AM86" i="19"/>
  <c r="AL86" i="19"/>
  <c r="AK86" i="19"/>
  <c r="AR85" i="19"/>
  <c r="AQ85" i="19"/>
  <c r="AP85" i="19"/>
  <c r="AO85" i="19"/>
  <c r="AN85" i="19"/>
  <c r="AM85" i="19"/>
  <c r="AL85" i="19"/>
  <c r="AK85" i="19"/>
  <c r="AR84" i="19"/>
  <c r="AQ84" i="19"/>
  <c r="AP84" i="19"/>
  <c r="AO84" i="19"/>
  <c r="AN84" i="19"/>
  <c r="AM84" i="19"/>
  <c r="AL84" i="19"/>
  <c r="AK84" i="19"/>
  <c r="AR83" i="19"/>
  <c r="AQ83" i="19"/>
  <c r="AP83" i="19"/>
  <c r="AO83" i="19"/>
  <c r="AN83" i="19"/>
  <c r="AM83" i="19"/>
  <c r="AL83" i="19"/>
  <c r="AK83" i="19"/>
  <c r="AR82" i="19"/>
  <c r="AQ82" i="19"/>
  <c r="AP82" i="19"/>
  <c r="AO82" i="19"/>
  <c r="AN82" i="19"/>
  <c r="AM82" i="19"/>
  <c r="AL82" i="19"/>
  <c r="AK82" i="19"/>
  <c r="AR81" i="19"/>
  <c r="AQ81" i="19"/>
  <c r="AP81" i="19"/>
  <c r="AO81" i="19"/>
  <c r="AN81" i="19"/>
  <c r="AM81" i="19"/>
  <c r="AL81" i="19"/>
  <c r="AK81" i="19"/>
  <c r="AR80" i="19"/>
  <c r="AQ80" i="19"/>
  <c r="AP80" i="19"/>
  <c r="AO80" i="19"/>
  <c r="AN80" i="19"/>
  <c r="AM80" i="19"/>
  <c r="AL80" i="19"/>
  <c r="AK80" i="19"/>
  <c r="AR79" i="19"/>
  <c r="AQ79" i="19"/>
  <c r="AP79" i="19"/>
  <c r="AO79" i="19"/>
  <c r="AN79" i="19"/>
  <c r="AM79" i="19"/>
  <c r="AL79" i="19"/>
  <c r="AK79" i="19"/>
  <c r="AR78" i="19"/>
  <c r="AQ78" i="19"/>
  <c r="AP78" i="19"/>
  <c r="AO78" i="19"/>
  <c r="AN78" i="19"/>
  <c r="AM78" i="19"/>
  <c r="AL78" i="19"/>
  <c r="AK78" i="19"/>
  <c r="AR77" i="19"/>
  <c r="AQ77" i="19"/>
  <c r="AP77" i="19"/>
  <c r="AO77" i="19"/>
  <c r="AN77" i="19"/>
  <c r="AM77" i="19"/>
  <c r="AL77" i="19"/>
  <c r="AK77" i="19"/>
  <c r="AR76" i="19"/>
  <c r="AQ76" i="19"/>
  <c r="AP76" i="19"/>
  <c r="AO76" i="19"/>
  <c r="AN76" i="19"/>
  <c r="AM76" i="19"/>
  <c r="AL76" i="19"/>
  <c r="AK76" i="19"/>
  <c r="AR75" i="19"/>
  <c r="AQ75" i="19"/>
  <c r="AP75" i="19"/>
  <c r="AO75" i="19"/>
  <c r="AN75" i="19"/>
  <c r="AM75" i="19"/>
  <c r="AL75" i="19"/>
  <c r="AK75" i="19"/>
  <c r="AR74" i="19"/>
  <c r="AQ74" i="19"/>
  <c r="AP74" i="19"/>
  <c r="AO74" i="19"/>
  <c r="AN74" i="19"/>
  <c r="AM74" i="19"/>
  <c r="AL74" i="19"/>
  <c r="AK74" i="19"/>
  <c r="AR73" i="19"/>
  <c r="AQ73" i="19"/>
  <c r="AP73" i="19"/>
  <c r="AO73" i="19"/>
  <c r="AN73" i="19"/>
  <c r="AM73" i="19"/>
  <c r="AL73" i="19"/>
  <c r="AK73" i="19"/>
  <c r="AR72" i="19"/>
  <c r="AQ72" i="19"/>
  <c r="AP72" i="19"/>
  <c r="AO72" i="19"/>
  <c r="AN72" i="19"/>
  <c r="AM72" i="19"/>
  <c r="AL72" i="19"/>
  <c r="AK72" i="19"/>
  <c r="AR71" i="19"/>
  <c r="AQ71" i="19"/>
  <c r="AP71" i="19"/>
  <c r="AO71" i="19"/>
  <c r="AN71" i="19"/>
  <c r="AM71" i="19"/>
  <c r="AL71" i="19"/>
  <c r="AK71" i="19"/>
  <c r="AR70" i="19"/>
  <c r="AQ70" i="19"/>
  <c r="AP70" i="19"/>
  <c r="AO70" i="19"/>
  <c r="AN70" i="19"/>
  <c r="AM70" i="19"/>
  <c r="AL70" i="19"/>
  <c r="AK70" i="19"/>
  <c r="AR69" i="19"/>
  <c r="AQ69" i="19"/>
  <c r="AP69" i="19"/>
  <c r="AO69" i="19"/>
  <c r="AN69" i="19"/>
  <c r="AM69" i="19"/>
  <c r="AL69" i="19"/>
  <c r="AK69" i="19"/>
  <c r="AR68" i="19"/>
  <c r="AQ68" i="19"/>
  <c r="AP68" i="19"/>
  <c r="AO68" i="19"/>
  <c r="AN68" i="19"/>
  <c r="AM68" i="19"/>
  <c r="AL68" i="19"/>
  <c r="AK68" i="19"/>
  <c r="AR67" i="19"/>
  <c r="AQ67" i="19"/>
  <c r="AP67" i="19"/>
  <c r="AO67" i="19"/>
  <c r="AN67" i="19"/>
  <c r="AM67" i="19"/>
  <c r="AL67" i="19"/>
  <c r="AK67" i="19"/>
  <c r="AR66" i="19"/>
  <c r="AQ66" i="19"/>
  <c r="AP66" i="19"/>
  <c r="AO66" i="19"/>
  <c r="AN66" i="19"/>
  <c r="AM66" i="19"/>
  <c r="AL66" i="19"/>
  <c r="AK66" i="19"/>
  <c r="AR65" i="19"/>
  <c r="AQ65" i="19"/>
  <c r="AP65" i="19"/>
  <c r="AO65" i="19"/>
  <c r="AN65" i="19"/>
  <c r="AM65" i="19"/>
  <c r="AL65" i="19"/>
  <c r="AK65" i="19"/>
  <c r="AR64" i="19"/>
  <c r="AQ64" i="19"/>
  <c r="AP64" i="19"/>
  <c r="AO64" i="19"/>
  <c r="AN64" i="19"/>
  <c r="AM64" i="19"/>
  <c r="AL64" i="19"/>
  <c r="AK64" i="19"/>
  <c r="AR63" i="19"/>
  <c r="AQ63" i="19"/>
  <c r="AP63" i="19"/>
  <c r="AO63" i="19"/>
  <c r="AN63" i="19"/>
  <c r="AM63" i="19"/>
  <c r="AL63" i="19"/>
  <c r="AK63" i="19"/>
  <c r="F63" i="19"/>
  <c r="AR62" i="19"/>
  <c r="AQ62" i="19"/>
  <c r="AP62" i="19"/>
  <c r="AO62" i="19"/>
  <c r="AN62" i="19"/>
  <c r="AM62" i="19"/>
  <c r="AL62" i="19"/>
  <c r="AK62" i="19"/>
  <c r="AR61" i="19"/>
  <c r="AQ61" i="19"/>
  <c r="AP61" i="19"/>
  <c r="AO61" i="19"/>
  <c r="AN61" i="19"/>
  <c r="AM61" i="19"/>
  <c r="AL61" i="19"/>
  <c r="AK61" i="19"/>
  <c r="I61" i="19"/>
  <c r="AR60" i="19"/>
  <c r="AQ60" i="19"/>
  <c r="AP60" i="19"/>
  <c r="AO60" i="19"/>
  <c r="AN60" i="19"/>
  <c r="AM60" i="19"/>
  <c r="AL60" i="19"/>
  <c r="AK60" i="19"/>
  <c r="AR59" i="19"/>
  <c r="AQ59" i="19"/>
  <c r="AP59" i="19"/>
  <c r="AO59" i="19"/>
  <c r="AN59" i="19"/>
  <c r="AM59" i="19"/>
  <c r="AL59" i="19"/>
  <c r="AK59" i="19"/>
  <c r="AR58" i="19"/>
  <c r="AQ58" i="19"/>
  <c r="AP58" i="19"/>
  <c r="AO58" i="19"/>
  <c r="AN58" i="19"/>
  <c r="AM58" i="19"/>
  <c r="AL58" i="19"/>
  <c r="AK58" i="19"/>
  <c r="AR57" i="19"/>
  <c r="AQ57" i="19"/>
  <c r="AP57" i="19"/>
  <c r="AO57" i="19"/>
  <c r="AN57" i="19"/>
  <c r="AM57" i="19"/>
  <c r="AL57" i="19"/>
  <c r="AK57" i="19"/>
  <c r="I57" i="19"/>
  <c r="AR56" i="19"/>
  <c r="AQ56" i="19"/>
  <c r="AP56" i="19"/>
  <c r="AO56" i="19"/>
  <c r="AN56" i="19"/>
  <c r="AM56" i="19"/>
  <c r="AL56" i="19"/>
  <c r="AK56" i="19"/>
  <c r="AR55" i="19"/>
  <c r="AQ55" i="19"/>
  <c r="AP55" i="19"/>
  <c r="AO55" i="19"/>
  <c r="AN55" i="19"/>
  <c r="AM55" i="19"/>
  <c r="AL55" i="19"/>
  <c r="AK55" i="19"/>
  <c r="AR54" i="19"/>
  <c r="AQ54" i="19"/>
  <c r="AP54" i="19"/>
  <c r="AO54" i="19"/>
  <c r="AN54" i="19"/>
  <c r="AM54" i="19"/>
  <c r="AL54" i="19"/>
  <c r="AK54" i="19"/>
  <c r="AR53" i="19"/>
  <c r="AQ53" i="19"/>
  <c r="AP53" i="19"/>
  <c r="AO53" i="19"/>
  <c r="AN53" i="19"/>
  <c r="AM53" i="19"/>
  <c r="AL53" i="19"/>
  <c r="AK53" i="19"/>
  <c r="I53" i="19"/>
  <c r="AR52" i="19"/>
  <c r="AQ52" i="19"/>
  <c r="AP52" i="19"/>
  <c r="AO52" i="19"/>
  <c r="AN52" i="19"/>
  <c r="AM52" i="19"/>
  <c r="AL52" i="19"/>
  <c r="AK52" i="19"/>
  <c r="AR51" i="19"/>
  <c r="AQ51" i="19"/>
  <c r="AP51" i="19"/>
  <c r="AO51" i="19"/>
  <c r="AN51" i="19"/>
  <c r="AM51" i="19"/>
  <c r="AL51" i="19"/>
  <c r="AK51" i="19"/>
  <c r="AR50" i="19"/>
  <c r="AQ50" i="19"/>
  <c r="AP50" i="19"/>
  <c r="AO50" i="19"/>
  <c r="AN50" i="19"/>
  <c r="AM50" i="19"/>
  <c r="AL50" i="19"/>
  <c r="AK50" i="19"/>
  <c r="AR49" i="19"/>
  <c r="AQ49" i="19"/>
  <c r="AP49" i="19"/>
  <c r="AO49" i="19"/>
  <c r="AN49" i="19"/>
  <c r="AM49" i="19"/>
  <c r="AL49" i="19"/>
  <c r="AK49" i="19"/>
  <c r="F49" i="19"/>
  <c r="AR48" i="19"/>
  <c r="AQ48" i="19"/>
  <c r="AP48" i="19"/>
  <c r="AO48" i="19"/>
  <c r="AN48" i="19"/>
  <c r="AM48" i="19"/>
  <c r="AL48" i="19"/>
  <c r="AK48" i="19"/>
  <c r="AR47" i="19"/>
  <c r="AQ47" i="19"/>
  <c r="AP47" i="19"/>
  <c r="AO47" i="19"/>
  <c r="AN47" i="19"/>
  <c r="AM47" i="19"/>
  <c r="AL47" i="19"/>
  <c r="AK47" i="19"/>
  <c r="F47" i="19"/>
  <c r="AR46" i="19"/>
  <c r="AQ46" i="19"/>
  <c r="AP46" i="19"/>
  <c r="AO46" i="19"/>
  <c r="AN46" i="19"/>
  <c r="AM46" i="19"/>
  <c r="AL46" i="19"/>
  <c r="AK46" i="19"/>
  <c r="AR45" i="19"/>
  <c r="AQ45" i="19"/>
  <c r="AP45" i="19"/>
  <c r="AO45" i="19"/>
  <c r="AN45" i="19"/>
  <c r="AM45" i="19"/>
  <c r="AL45" i="19"/>
  <c r="AK45" i="19"/>
  <c r="F45" i="19"/>
  <c r="AR44" i="19"/>
  <c r="AQ44" i="19"/>
  <c r="AP44" i="19"/>
  <c r="AO44" i="19"/>
  <c r="AN44" i="19"/>
  <c r="AM44" i="19"/>
  <c r="AL44" i="19"/>
  <c r="AK44" i="19"/>
  <c r="AR43" i="19"/>
  <c r="AQ43" i="19"/>
  <c r="AP43" i="19"/>
  <c r="AO43" i="19"/>
  <c r="AN43" i="19"/>
  <c r="AM43" i="19"/>
  <c r="AL43" i="19"/>
  <c r="AK43" i="19"/>
  <c r="F43" i="19"/>
  <c r="AR42" i="19"/>
  <c r="AQ42" i="19"/>
  <c r="AP42" i="19"/>
  <c r="AO42" i="19"/>
  <c r="AN42" i="19"/>
  <c r="AM42" i="19"/>
  <c r="AL42" i="19"/>
  <c r="AK42" i="19"/>
  <c r="AR41" i="19"/>
  <c r="AQ41" i="19"/>
  <c r="AP41" i="19"/>
  <c r="AO41" i="19"/>
  <c r="AN41" i="19"/>
  <c r="AM41" i="19"/>
  <c r="AL41" i="19"/>
  <c r="AK41" i="19"/>
  <c r="I41" i="19"/>
  <c r="AR40" i="19"/>
  <c r="AQ40" i="19"/>
  <c r="AP40" i="19"/>
  <c r="AO40" i="19"/>
  <c r="AN40" i="19"/>
  <c r="AM40" i="19"/>
  <c r="AL40" i="19"/>
  <c r="AK40" i="19"/>
  <c r="AR39" i="19"/>
  <c r="AQ39" i="19"/>
  <c r="AP39" i="19"/>
  <c r="AO39" i="19"/>
  <c r="AN39" i="19"/>
  <c r="AM39" i="19"/>
  <c r="AL39" i="19"/>
  <c r="AK39" i="19"/>
  <c r="F39" i="19"/>
  <c r="AR38" i="19"/>
  <c r="AQ38" i="19"/>
  <c r="AP38" i="19"/>
  <c r="AO38" i="19"/>
  <c r="AN38" i="19"/>
  <c r="AM38" i="19"/>
  <c r="AL38" i="19"/>
  <c r="AK38" i="19"/>
  <c r="AR37" i="19"/>
  <c r="AQ37" i="19"/>
  <c r="AP37" i="19"/>
  <c r="AO37" i="19"/>
  <c r="AN37" i="19"/>
  <c r="AM37" i="19"/>
  <c r="AL37" i="19"/>
  <c r="AK37" i="19"/>
  <c r="AR36" i="19"/>
  <c r="AQ36" i="19"/>
  <c r="AP36" i="19"/>
  <c r="AO36" i="19"/>
  <c r="AN36" i="19"/>
  <c r="AM36" i="19"/>
  <c r="AL36" i="19"/>
  <c r="AK36" i="19"/>
  <c r="AR35" i="19"/>
  <c r="AQ35" i="19"/>
  <c r="AP35" i="19"/>
  <c r="AO35" i="19"/>
  <c r="AN35" i="19"/>
  <c r="AM35" i="19"/>
  <c r="AL35" i="19"/>
  <c r="AK35" i="19"/>
  <c r="AR34" i="19"/>
  <c r="AQ34" i="19"/>
  <c r="AP34" i="19"/>
  <c r="AO34" i="19"/>
  <c r="AN34" i="19"/>
  <c r="AM34" i="19"/>
  <c r="AL34" i="19"/>
  <c r="AK34" i="19"/>
  <c r="AR33" i="19"/>
  <c r="AQ33" i="19"/>
  <c r="AP33" i="19"/>
  <c r="AO33" i="19"/>
  <c r="AN33" i="19"/>
  <c r="AM33" i="19"/>
  <c r="AL33" i="19"/>
  <c r="AK33" i="19"/>
  <c r="F33" i="19"/>
  <c r="AR32" i="19"/>
  <c r="AQ32" i="19"/>
  <c r="AP32" i="19"/>
  <c r="AO32" i="19"/>
  <c r="AN32" i="19"/>
  <c r="AM32" i="19"/>
  <c r="AL32" i="19"/>
  <c r="AK32" i="19"/>
  <c r="AR31" i="19"/>
  <c r="AQ31" i="19"/>
  <c r="AP31" i="19"/>
  <c r="AO31" i="19"/>
  <c r="AN31" i="19"/>
  <c r="AM31" i="19"/>
  <c r="AL31" i="19"/>
  <c r="AK31" i="19"/>
  <c r="AR30" i="19"/>
  <c r="AQ30" i="19"/>
  <c r="AP30" i="19"/>
  <c r="AO30" i="19"/>
  <c r="AN30" i="19"/>
  <c r="AM30" i="19"/>
  <c r="AL30" i="19"/>
  <c r="AK30" i="19"/>
  <c r="F30" i="19"/>
  <c r="AR29" i="19"/>
  <c r="AQ29" i="19"/>
  <c r="AP29" i="19"/>
  <c r="AO29" i="19"/>
  <c r="AN29" i="19"/>
  <c r="AM29" i="19"/>
  <c r="AL29" i="19"/>
  <c r="AK29" i="19"/>
  <c r="AR28" i="19"/>
  <c r="AQ28" i="19"/>
  <c r="AP28" i="19"/>
  <c r="AO28" i="19"/>
  <c r="AN28" i="19"/>
  <c r="AM28" i="19"/>
  <c r="AL28" i="19"/>
  <c r="AK28" i="19"/>
  <c r="F28" i="19"/>
  <c r="AR27" i="19"/>
  <c r="AQ27" i="19"/>
  <c r="AP27" i="19"/>
  <c r="AO27" i="19"/>
  <c r="AN27" i="19"/>
  <c r="AM27" i="19"/>
  <c r="AL27" i="19"/>
  <c r="AK27" i="19"/>
  <c r="AR26" i="19"/>
  <c r="AQ26" i="19"/>
  <c r="AP26" i="19"/>
  <c r="AO26" i="19"/>
  <c r="AN26" i="19"/>
  <c r="AM26" i="19"/>
  <c r="AL26" i="19"/>
  <c r="AK26" i="19"/>
  <c r="F26" i="19"/>
  <c r="AR25" i="19"/>
  <c r="AQ25" i="19"/>
  <c r="AP25" i="19"/>
  <c r="AO25" i="19"/>
  <c r="AN25" i="19"/>
  <c r="AM25" i="19"/>
  <c r="AL25" i="19"/>
  <c r="AK25" i="19"/>
  <c r="AR24" i="19"/>
  <c r="AQ24" i="19"/>
  <c r="AP24" i="19"/>
  <c r="AO24" i="19"/>
  <c r="AN24" i="19"/>
  <c r="AM24" i="19"/>
  <c r="AL24" i="19"/>
  <c r="AK24" i="19"/>
  <c r="AR23" i="19"/>
  <c r="AQ23" i="19"/>
  <c r="AP23" i="19"/>
  <c r="AO23" i="19"/>
  <c r="AN23" i="19"/>
  <c r="AM23" i="19"/>
  <c r="AL23" i="19"/>
  <c r="AK23" i="19"/>
  <c r="AR22" i="19"/>
  <c r="AQ22" i="19"/>
  <c r="AP22" i="19"/>
  <c r="AO22" i="19"/>
  <c r="AN22" i="19"/>
  <c r="AM22" i="19"/>
  <c r="AL22" i="19"/>
  <c r="AK22" i="19"/>
  <c r="F22" i="19"/>
  <c r="AR21" i="19"/>
  <c r="AQ21" i="19"/>
  <c r="AP21" i="19"/>
  <c r="AO21" i="19"/>
  <c r="AN21" i="19"/>
  <c r="AM21" i="19"/>
  <c r="AL21" i="19"/>
  <c r="AK21" i="19"/>
  <c r="AR20" i="19"/>
  <c r="AQ20" i="19"/>
  <c r="AP20" i="19"/>
  <c r="AO20" i="19"/>
  <c r="AN20" i="19"/>
  <c r="AM20" i="19"/>
  <c r="AL20" i="19"/>
  <c r="AK20" i="19"/>
  <c r="AR19" i="19"/>
  <c r="AQ19" i="19"/>
  <c r="AP19" i="19"/>
  <c r="AO19" i="19"/>
  <c r="AN19" i="19"/>
  <c r="AM19" i="19"/>
  <c r="AL19" i="19"/>
  <c r="AK19" i="19"/>
  <c r="AR18" i="19"/>
  <c r="AQ18" i="19"/>
  <c r="AP18" i="19"/>
  <c r="AO18" i="19"/>
  <c r="AN18" i="19"/>
  <c r="AM18" i="19"/>
  <c r="AL18" i="19"/>
  <c r="AK18" i="19"/>
  <c r="I18" i="19"/>
  <c r="AR17" i="19"/>
  <c r="AQ17" i="19"/>
  <c r="AP17" i="19"/>
  <c r="AO17" i="19"/>
  <c r="AN17" i="19"/>
  <c r="AM17" i="19"/>
  <c r="AL17" i="19"/>
  <c r="AK17" i="19"/>
  <c r="AR16" i="19"/>
  <c r="AQ16" i="19"/>
  <c r="AP16" i="19"/>
  <c r="AO16" i="19"/>
  <c r="AN16" i="19"/>
  <c r="AM16" i="19"/>
  <c r="AL16" i="19"/>
  <c r="AK16" i="19"/>
  <c r="F16" i="19"/>
  <c r="AR15" i="19"/>
  <c r="AQ15" i="19"/>
  <c r="AP15" i="19"/>
  <c r="AO15" i="19"/>
  <c r="AN15" i="19"/>
  <c r="AM15" i="19"/>
  <c r="AL15" i="19"/>
  <c r="AK15" i="19"/>
  <c r="AR14" i="19"/>
  <c r="AQ14" i="19"/>
  <c r="AP14" i="19"/>
  <c r="AO14" i="19"/>
  <c r="AN14" i="19"/>
  <c r="AM14" i="19"/>
  <c r="AL14" i="19"/>
  <c r="AK14" i="19"/>
  <c r="F14" i="19"/>
  <c r="AR13" i="19"/>
  <c r="AQ13" i="19"/>
  <c r="AP13" i="19"/>
  <c r="AO13" i="19"/>
  <c r="AN13" i="19"/>
  <c r="AM13" i="19"/>
  <c r="AL13" i="19"/>
  <c r="AK13" i="19"/>
  <c r="AR12" i="19"/>
  <c r="AQ12" i="19"/>
  <c r="AP12" i="19"/>
  <c r="AO12" i="19"/>
  <c r="AN12" i="19"/>
  <c r="AM12" i="19"/>
  <c r="AL12" i="19"/>
  <c r="AK12" i="19"/>
  <c r="AR11" i="19"/>
  <c r="AQ11" i="19"/>
  <c r="AP11" i="19"/>
  <c r="AO11" i="19"/>
  <c r="AN11" i="19"/>
  <c r="AM11" i="19"/>
  <c r="AL11" i="19"/>
  <c r="AK11" i="19"/>
  <c r="AR10" i="19"/>
  <c r="AQ10" i="19"/>
  <c r="AP10" i="19"/>
  <c r="AO10" i="19"/>
  <c r="AN10" i="19"/>
  <c r="AM10" i="19"/>
  <c r="AL10" i="19"/>
  <c r="AK10" i="19"/>
  <c r="F10" i="19"/>
  <c r="AR9" i="19"/>
  <c r="AQ9" i="19"/>
  <c r="AP9" i="19"/>
  <c r="AO9" i="19"/>
  <c r="AN9" i="19"/>
  <c r="AM9" i="19"/>
  <c r="AL9" i="19"/>
  <c r="AK9" i="19"/>
  <c r="AR8" i="19"/>
  <c r="AQ8" i="19"/>
  <c r="AP8" i="19"/>
  <c r="AO8" i="19"/>
  <c r="AN8" i="19"/>
  <c r="AM8" i="19"/>
  <c r="AL8" i="19"/>
  <c r="AK8" i="19"/>
  <c r="AR7" i="19"/>
  <c r="AQ7" i="19"/>
  <c r="AP7" i="19"/>
  <c r="AO7" i="19"/>
  <c r="AN7" i="19"/>
  <c r="AM7" i="19"/>
  <c r="AL7" i="19"/>
  <c r="AK7" i="19"/>
  <c r="AR6" i="19"/>
  <c r="AQ6" i="19"/>
  <c r="AP6" i="19"/>
  <c r="AO6" i="19"/>
  <c r="AN6" i="19"/>
  <c r="AM6" i="19"/>
  <c r="AL6" i="19"/>
  <c r="AK6" i="19"/>
  <c r="AR5" i="19"/>
  <c r="AQ5" i="19"/>
  <c r="AP5" i="19"/>
  <c r="AO5" i="19"/>
  <c r="AN5" i="19"/>
  <c r="AM5" i="19"/>
  <c r="AL5" i="19"/>
  <c r="AK5" i="19"/>
  <c r="AR4" i="19"/>
  <c r="AQ4" i="19"/>
  <c r="AP4" i="19"/>
  <c r="AO4" i="19"/>
  <c r="AN4" i="19"/>
  <c r="AM4" i="19"/>
  <c r="AL4" i="19"/>
  <c r="AK4" i="19"/>
  <c r="AR3" i="19"/>
  <c r="AQ3" i="19"/>
  <c r="AP3" i="19"/>
  <c r="AO3" i="19"/>
  <c r="AN3" i="19"/>
  <c r="AM3" i="19"/>
  <c r="AL3" i="19"/>
  <c r="AK3" i="19"/>
  <c r="AR2" i="19"/>
  <c r="AQ2" i="19"/>
  <c r="AP2" i="19"/>
  <c r="AO2" i="19"/>
  <c r="AN2" i="19"/>
  <c r="AM2" i="19"/>
  <c r="AL2" i="19"/>
  <c r="AK2" i="19"/>
  <c r="A9" i="17"/>
  <c r="AN137" i="19" l="1"/>
  <c r="AR137" i="19"/>
  <c r="AQ137" i="19"/>
  <c r="AO137" i="19"/>
  <c r="AP137" i="19"/>
  <c r="AM137" i="19"/>
  <c r="AK137" i="19"/>
  <c r="AL137" i="19"/>
  <c r="AJ136" i="19"/>
  <c r="AJ137" i="19" s="1"/>
  <c r="AF136" i="19"/>
  <c r="AF137" i="19" s="1"/>
  <c r="AD136" i="19"/>
  <c r="AD137" i="19" s="1"/>
  <c r="AH136" i="19"/>
  <c r="AH137" i="19" s="1"/>
  <c r="T138" i="22"/>
  <c r="H41" i="19"/>
  <c r="J41" i="19" s="1"/>
  <c r="S138" i="22"/>
  <c r="F8" i="19"/>
  <c r="H18" i="19" s="1"/>
  <c r="F59" i="19" s="1"/>
  <c r="H61" i="19" s="1"/>
  <c r="J61" i="19" s="1"/>
  <c r="F20" i="19"/>
  <c r="F35" i="19" s="1"/>
  <c r="H37" i="19" s="1"/>
  <c r="J37" i="19" s="1"/>
  <c r="F51" i="19"/>
  <c r="H53" i="19" s="1"/>
  <c r="J53" i="19" s="1"/>
  <c r="J18" i="19" l="1"/>
  <c r="F55" i="19"/>
  <c r="H57" i="19" s="1"/>
  <c r="J57" i="19" s="1"/>
  <c r="AL140" i="22" l="1"/>
</calcChain>
</file>

<file path=xl/comments1.xml><?xml version="1.0" encoding="utf-8"?>
<comments xmlns="http://schemas.openxmlformats.org/spreadsheetml/2006/main">
  <authors>
    <author>Brian K. Logwood</author>
  </authors>
  <commentList>
    <comment ref="A8" authorId="0" shapeId="0">
      <text>
        <r>
          <rPr>
            <b/>
            <u/>
            <sz val="11"/>
            <color indexed="81"/>
            <rFont val="Tahoma"/>
            <family val="2"/>
          </rPr>
          <t>TOTAL EXPENDITURES FOR OPERATIONS DEFINED AS:</t>
        </r>
        <r>
          <rPr>
            <b/>
            <sz val="11"/>
            <color indexed="81"/>
            <rFont val="Tahoma"/>
            <family val="2"/>
          </rPr>
          <t xml:space="preserve">   </t>
        </r>
        <r>
          <rPr>
            <sz val="11"/>
            <color indexed="81"/>
            <rFont val="Tahoma"/>
            <family val="2"/>
          </rPr>
          <t xml:space="preserve">
</t>
        </r>
        <r>
          <rPr>
            <sz val="8"/>
            <color indexed="81"/>
            <rFont val="Tahoma"/>
            <family val="2"/>
          </rPr>
          <t xml:space="preserve">
</t>
        </r>
        <r>
          <rPr>
            <sz val="11"/>
            <color indexed="81"/>
            <rFont val="Tahoma"/>
            <family val="2"/>
          </rPr>
          <t xml:space="preserve">From the Annual School Report Financial Section (ASRFIN) the sum of all expenditures in ASRFIN functions between 61100 and 69950; excluding functions 67100, 68900, and 69900;
ASRFIN Programs 1 through 8, 11 only (exclude programs 9 and 10);
Exclude object code 8200, 8210, 8220 and 8230 from all functions; 
Exclude object code 8100 from the Facilities function only (functions 66100 through 66600);
Exclude object codes 8110, 8120 and 8130 from Technology (function 68800);
Exclude object code 8100 from Contingency Reserve (function 69800); and,
Exclude the following function-object combinations:
  - Function 67200 - Object Code 9400
  - Function 67200 - Object Code 9800
  - Function 67300 - Object Code 9600
  - Function 67300 - Object Codes 9700, 9710, 9720, 9730, 9740
</t>
        </r>
      </text>
    </comment>
    <comment ref="A20" authorId="0" shapeId="0">
      <text>
        <r>
          <rPr>
            <b/>
            <u/>
            <sz val="11"/>
            <color indexed="81"/>
            <rFont val="Tahoma"/>
            <family val="2"/>
          </rPr>
          <t xml:space="preserve">Excludes the following revenue source codes: </t>
        </r>
        <r>
          <rPr>
            <b/>
            <sz val="11"/>
            <color indexed="81"/>
            <rFont val="Tahoma"/>
            <family val="2"/>
          </rPr>
          <t xml:space="preserve">
</t>
        </r>
        <r>
          <rPr>
            <sz val="11"/>
            <color indexed="81"/>
            <rFont val="Tahoma"/>
            <family val="2"/>
          </rPr>
          <t xml:space="preserve">Special Education Hospitals, Clinics and Detention Homes (240220)
State Sales Tax (240308 and 240312, which are included below)
Special Education  in Jails (240295)
</t>
        </r>
        <r>
          <rPr>
            <sz val="11"/>
            <color indexed="16"/>
            <rFont val="Tahoma"/>
            <family val="2"/>
          </rPr>
          <t xml:space="preserve">Career/Technical Ed Adult - Regional Centers (240262)
Career/Technical Ed equip - Regional Centers (240270)
Career/Technical Ed Occupational Prep - Regional Centers (240282)
</t>
        </r>
        <r>
          <rPr>
            <sz val="11"/>
            <color indexed="81"/>
            <rFont val="Tahoma"/>
            <family val="2"/>
          </rPr>
          <t xml:space="preserve">
Also excludes expenditures reported as Inter-Agency Fund Transfer - Transfer to Regional Program (Function 67300 - Objects 9700, 9710, 9720, 9730, 9740).  This exclusion is based on these State funds being "passed-through" the fiscal agent's budget to a regional program.  This amount is also deducted from "Total Expenditures for Operations."
</t>
        </r>
      </text>
    </comment>
    <comment ref="A43" authorId="0" shapeId="0">
      <text>
        <r>
          <rPr>
            <sz val="11"/>
            <color indexed="81"/>
            <rFont val="Tahoma"/>
            <family val="2"/>
          </rPr>
          <t xml:space="preserve">As of FY 2012, includes all federal revenues, </t>
        </r>
        <r>
          <rPr>
            <b/>
            <u/>
            <sz val="11"/>
            <color indexed="12"/>
            <rFont val="Tahoma"/>
            <family val="2"/>
          </rPr>
          <t>including those for Pre-kindergarten</t>
        </r>
        <r>
          <rPr>
            <sz val="11"/>
            <color indexed="81"/>
            <rFont val="Tahoma"/>
            <family val="2"/>
          </rPr>
          <t>: 
Head Start (93600)
Even Start (84213)
Title I (84010, 84013, 84357 and 84389) expenditures for Pre-K programs</t>
        </r>
      </text>
    </comment>
  </commentList>
</comments>
</file>

<file path=xl/comments2.xml><?xml version="1.0" encoding="utf-8"?>
<comments xmlns="http://schemas.openxmlformats.org/spreadsheetml/2006/main">
  <authors>
    <author>Brian K. Logwood</author>
    <author>Marcy Cotov</author>
  </authors>
  <commentList>
    <comment ref="A8" authorId="0" shapeId="0">
      <text>
        <r>
          <rPr>
            <b/>
            <u/>
            <sz val="11"/>
            <color indexed="81"/>
            <rFont val="Tahoma"/>
            <family val="2"/>
          </rPr>
          <t>TOTAL EXPENDITURES FOR OPERATIONS DEFINED AS:</t>
        </r>
        <r>
          <rPr>
            <b/>
            <sz val="11"/>
            <color indexed="81"/>
            <rFont val="Tahoma"/>
            <family val="2"/>
          </rPr>
          <t xml:space="preserve">   </t>
        </r>
        <r>
          <rPr>
            <sz val="11"/>
            <color indexed="81"/>
            <rFont val="Tahoma"/>
            <family val="2"/>
          </rPr>
          <t xml:space="preserve">
</t>
        </r>
        <r>
          <rPr>
            <sz val="8"/>
            <color indexed="81"/>
            <rFont val="Tahoma"/>
            <family val="2"/>
          </rPr>
          <t xml:space="preserve">
</t>
        </r>
        <r>
          <rPr>
            <sz val="11"/>
            <color indexed="81"/>
            <rFont val="Tahoma"/>
            <family val="2"/>
          </rPr>
          <t xml:space="preserve">From the Annual School Report Financial Section (ASRFIN) the sum of all expenditures in ASRFIN functions between 61100 and 69950; excluding functions 67100, 68900, and 69900;
ASRFIN Programs 1 through 8, 11 only (exclude programs 9 and 10);
Exclude object code 8200, 8210, 8220 and 8230 from all functions; 
Exclude object code 8100 from the Facilities function only (functions 66100 through 66600);
Exclude object codes 8110, 8120 and 8130 from Technology (function 68800);
Exclude object code 8100 from Contingency Reserve (function 69800); and,
Exclude the following function-object combinations:
  - Function 67200 - Object Code 9400
  - Function 67200 - Object Code 9800
  - Function 67300 - Object Code 9600
  - Function 67300 - Object Codes 9700, 9710, 9720, 9730, 9740
</t>
        </r>
      </text>
    </comment>
    <comment ref="F8" authorId="1" shapeId="0">
      <text>
        <r>
          <rPr>
            <sz val="11"/>
            <color indexed="81"/>
            <rFont val="Tahoma"/>
            <family val="2"/>
          </rPr>
          <t>Key in estimated data into yellow shaded cells only.  All other cells will calculate for you.</t>
        </r>
      </text>
    </comment>
    <comment ref="A20" authorId="0" shapeId="0">
      <text>
        <r>
          <rPr>
            <b/>
            <u/>
            <sz val="11"/>
            <color indexed="81"/>
            <rFont val="Tahoma"/>
            <family val="2"/>
          </rPr>
          <t xml:space="preserve">Excludes the following revenue source codes: </t>
        </r>
        <r>
          <rPr>
            <b/>
            <sz val="11"/>
            <color indexed="81"/>
            <rFont val="Tahoma"/>
            <family val="2"/>
          </rPr>
          <t xml:space="preserve">
</t>
        </r>
        <r>
          <rPr>
            <sz val="11"/>
            <color indexed="81"/>
            <rFont val="Tahoma"/>
            <family val="2"/>
          </rPr>
          <t xml:space="preserve">Special Education Hospitals, Clinics and Detention Homes (240220)
State Sales Tax (240308 and 240312, which are included below)
Special Education  in Jails (240295)
</t>
        </r>
        <r>
          <rPr>
            <sz val="11"/>
            <color indexed="16"/>
            <rFont val="Tahoma"/>
            <family val="2"/>
          </rPr>
          <t xml:space="preserve">Career/Technical Ed Adult - Regional Centers (240262)
Career/Technical Ed equip - Regional Centers (240270)
Career/Technical Ed Occupational Prep - Regional Centers (240282)
</t>
        </r>
        <r>
          <rPr>
            <sz val="11"/>
            <color indexed="81"/>
            <rFont val="Tahoma"/>
            <family val="2"/>
          </rPr>
          <t xml:space="preserve">
Also excludes expenditures reported as Inter-Agency Fund Transfer - Transfer to Regional Program (Function 67300 - Objects 9700, 9710, 9720, 9730, 9740).  This exclusion is based on these State funds being "passed-through" the fiscal agent's budget to a regional program.  This amount is also deducted from "Total Expenditures for Operations."
</t>
        </r>
      </text>
    </comment>
    <comment ref="A43" authorId="0" shapeId="0">
      <text>
        <r>
          <rPr>
            <sz val="11"/>
            <color indexed="81"/>
            <rFont val="Tahoma"/>
            <family val="2"/>
          </rPr>
          <t xml:space="preserve">As of FY 2012, includes all federal revenues, </t>
        </r>
        <r>
          <rPr>
            <b/>
            <u/>
            <sz val="11"/>
            <color indexed="12"/>
            <rFont val="Tahoma"/>
            <family val="2"/>
          </rPr>
          <t>including those for Pre-kindergarten</t>
        </r>
        <r>
          <rPr>
            <sz val="11"/>
            <color indexed="81"/>
            <rFont val="Tahoma"/>
            <family val="2"/>
          </rPr>
          <t>:
Head Start (93600)
Even Start (84213)
Title I (84010, 84013, 84357 and 84389) expenditures for Pre-K programs</t>
        </r>
      </text>
    </comment>
  </commentList>
</comments>
</file>

<file path=xl/comments3.xml><?xml version="1.0" encoding="utf-8"?>
<comments xmlns="http://schemas.openxmlformats.org/spreadsheetml/2006/main">
  <authors>
    <author>Brian K. Logwood</author>
    <author>Marcy Cotov</author>
  </authors>
  <commentList>
    <comment ref="A8" authorId="0" shapeId="0">
      <text>
        <r>
          <rPr>
            <b/>
            <u/>
            <sz val="11"/>
            <color indexed="81"/>
            <rFont val="Tahoma"/>
            <family val="2"/>
          </rPr>
          <t>TOTAL EXPENDITURES FOR OPERATIONS DEFINED AS:</t>
        </r>
        <r>
          <rPr>
            <b/>
            <sz val="11"/>
            <color indexed="81"/>
            <rFont val="Tahoma"/>
            <family val="2"/>
          </rPr>
          <t xml:space="preserve">   </t>
        </r>
        <r>
          <rPr>
            <sz val="11"/>
            <color indexed="81"/>
            <rFont val="Tahoma"/>
            <family val="2"/>
          </rPr>
          <t xml:space="preserve">
</t>
        </r>
        <r>
          <rPr>
            <sz val="8"/>
            <color indexed="81"/>
            <rFont val="Tahoma"/>
            <family val="2"/>
          </rPr>
          <t xml:space="preserve">
</t>
        </r>
        <r>
          <rPr>
            <sz val="11"/>
            <color indexed="81"/>
            <rFont val="Tahoma"/>
            <family val="2"/>
          </rPr>
          <t xml:space="preserve">From the Annual School Report Financial Section (ASRFIN) the sum of all expenditures in ASRFIN functions between 61100 and 69950; excluding functions 67100, 68900, and 69900;
ASRFIN Programs 1 through 8, 11 only (exclude programs 9 and 10);
Exclude object code 8200, 8210, 8220 and 8230 from all functions; 
Exclude object code 8100 from the Facilities function only (functions 66100 through 66600);
Exclude object codes 8110, 8120 and 8130 from Technology (function 68800);
Exclude object code 8100 from Contingency Reserve (function 69800); and,
Exclude the following function-object combinations:
  - Function 67200 - Object Code 9400
  - Function 67200 - Object Code 9800
  - Function 67300 - Object Code 9600
  - Function 67300 - Object Codes 9700, 9710, 9720, 9730, 9740
</t>
        </r>
      </text>
    </comment>
    <comment ref="F8" authorId="1" shapeId="0">
      <text>
        <r>
          <rPr>
            <sz val="11"/>
            <color indexed="81"/>
            <rFont val="Tahoma"/>
            <family val="2"/>
          </rPr>
          <t>Key in estimated data into yellow shaded cells only.  All other cells will calculate for you.</t>
        </r>
      </text>
    </comment>
    <comment ref="A20" authorId="0" shapeId="0">
      <text>
        <r>
          <rPr>
            <b/>
            <u/>
            <sz val="11"/>
            <color indexed="81"/>
            <rFont val="Tahoma"/>
            <family val="2"/>
          </rPr>
          <t xml:space="preserve">Excludes the following revenue source codes: </t>
        </r>
        <r>
          <rPr>
            <b/>
            <sz val="11"/>
            <color indexed="81"/>
            <rFont val="Tahoma"/>
            <family val="2"/>
          </rPr>
          <t xml:space="preserve">
</t>
        </r>
        <r>
          <rPr>
            <sz val="11"/>
            <color indexed="81"/>
            <rFont val="Tahoma"/>
            <family val="2"/>
          </rPr>
          <t xml:space="preserve">Special Education Hospitals, Clinics and Detention Homes (240220)
State Sales Tax (240308 and 240312, which are included below)
Special Education  in Jails (240295)
</t>
        </r>
        <r>
          <rPr>
            <sz val="11"/>
            <color indexed="16"/>
            <rFont val="Tahoma"/>
            <family val="2"/>
          </rPr>
          <t xml:space="preserve">Career/Technical Ed Adult - Regional Centers (240262)
Career/Technical Ed equip - Regional Centers (240270)
Career/Technical Ed Occupational Prep - Regional Centers (240282)
</t>
        </r>
        <r>
          <rPr>
            <sz val="11"/>
            <color indexed="81"/>
            <rFont val="Tahoma"/>
            <family val="2"/>
          </rPr>
          <t xml:space="preserve">
Also excludes expenditures reported as Inter-Agency Fund Transfer - Transfer to Regional Program (Function 67300 - Objects 9700, 9710, 9720, 9730, 9740).  This exclusion is based on these State funds being "passed-through" the fiscal agent's budget to a regional program.  This amount is also deducted from "Total Expenditures for Operations."
</t>
        </r>
      </text>
    </comment>
    <comment ref="A43" authorId="0" shapeId="0">
      <text>
        <r>
          <rPr>
            <sz val="11"/>
            <color indexed="81"/>
            <rFont val="Tahoma"/>
            <family val="2"/>
          </rPr>
          <t xml:space="preserve">As of FY 2012, includes all federal revenues, </t>
        </r>
        <r>
          <rPr>
            <b/>
            <u/>
            <sz val="11"/>
            <color indexed="12"/>
            <rFont val="Tahoma"/>
            <family val="2"/>
          </rPr>
          <t>including those for Pre-kindergarten</t>
        </r>
        <r>
          <rPr>
            <sz val="11"/>
            <color indexed="81"/>
            <rFont val="Tahoma"/>
            <family val="2"/>
          </rPr>
          <t>: 
Head Start (93600)
Even Start (84213)
Title I (84010, 84013, 84357 and 84389) expenditures for Pre-K programs</t>
        </r>
      </text>
    </comment>
  </commentList>
</comments>
</file>

<file path=xl/comments4.xml><?xml version="1.0" encoding="utf-8"?>
<comments xmlns="http://schemas.openxmlformats.org/spreadsheetml/2006/main">
  <authors>
    <author>Adam Anfinson (DOE)</author>
    <author>Friese, Laura (DOE)</author>
    <author>Virginia Dept. of Education</author>
  </authors>
  <commentList>
    <comment ref="Z1" authorId="0" shapeId="0">
      <text>
        <r>
          <rPr>
            <b/>
            <sz val="9"/>
            <color indexed="81"/>
            <rFont val="Tahoma"/>
            <family val="2"/>
          </rPr>
          <t>Adam Anfinson (DOE):</t>
        </r>
        <r>
          <rPr>
            <sz val="9"/>
            <color indexed="81"/>
            <rFont val="Tahoma"/>
            <family val="2"/>
          </rPr>
          <t xml:space="preserve">
From the FY2018 Caboose</t>
        </r>
      </text>
    </comment>
    <comment ref="AD1" authorId="0" shapeId="0">
      <text>
        <r>
          <rPr>
            <b/>
            <sz val="9"/>
            <color indexed="81"/>
            <rFont val="Tahoma"/>
            <family val="2"/>
          </rPr>
          <t>Adam Anfinson (DOE):</t>
        </r>
        <r>
          <rPr>
            <sz val="9"/>
            <color indexed="81"/>
            <rFont val="Tahoma"/>
            <family val="2"/>
          </rPr>
          <t xml:space="preserve">
From the FY 2019 Big Bill Gov Budget. If changed by the GA, need to update this file</t>
        </r>
      </text>
    </comment>
    <comment ref="AJ2" authorId="1" shapeId="0">
      <text>
        <r>
          <rPr>
            <sz val="12"/>
            <color indexed="81"/>
            <rFont val="Tahoma"/>
            <family val="2"/>
          </rPr>
          <t xml:space="preserve">WARNING:
Fiscal Agent Divisions have different formulas </t>
        </r>
      </text>
    </comment>
    <comment ref="T11" authorId="2" shapeId="0">
      <text>
        <r>
          <rPr>
            <b/>
            <sz val="8"/>
            <color indexed="81"/>
            <rFont val="Tahoma"/>
            <family val="2"/>
          </rPr>
          <t>Virginia Dept. of Education:</t>
        </r>
        <r>
          <rPr>
            <sz val="8"/>
            <color indexed="81"/>
            <rFont val="Tahoma"/>
            <family val="2"/>
          </rPr>
          <t xml:space="preserve">
The Fiscal Agenct show all of the sales taxes for both divisions.</t>
        </r>
      </text>
    </comment>
    <comment ref="H48" authorId="2" shapeId="0">
      <text>
        <r>
          <rPr>
            <b/>
            <sz val="8"/>
            <color indexed="81"/>
            <rFont val="Tahoma"/>
            <family val="2"/>
          </rPr>
          <t xml:space="preserve">Included in 131 total
</t>
        </r>
      </text>
    </comment>
    <comment ref="H126" authorId="2" shapeId="0">
      <text>
        <r>
          <rPr>
            <b/>
            <sz val="8"/>
            <color indexed="81"/>
            <rFont val="Tahoma"/>
            <family val="2"/>
          </rPr>
          <t xml:space="preserve">Included in total for 29
</t>
        </r>
      </text>
    </comment>
    <comment ref="H130" authorId="2" shapeId="0">
      <text>
        <r>
          <rPr>
            <b/>
            <sz val="8"/>
            <color indexed="81"/>
            <rFont val="Tahoma"/>
            <family val="2"/>
          </rPr>
          <t xml:space="preserve">Included in total for 40
</t>
        </r>
      </text>
    </comment>
    <comment ref="H132" authorId="2" shapeId="0">
      <text>
        <r>
          <rPr>
            <b/>
            <sz val="8"/>
            <color indexed="81"/>
            <rFont val="Tahoma"/>
            <family val="2"/>
          </rPr>
          <t xml:space="preserve">Included in total for 10
</t>
        </r>
      </text>
    </comment>
  </commentList>
</comments>
</file>

<file path=xl/sharedStrings.xml><?xml version="1.0" encoding="utf-8"?>
<sst xmlns="http://schemas.openxmlformats.org/spreadsheetml/2006/main" count="1172" uniqueCount="665">
  <si>
    <t>Div Num</t>
  </si>
  <si>
    <t>Division</t>
  </si>
  <si>
    <t>2b.  Plus the sum of all Beginning-Year Balances from State funds:</t>
  </si>
  <si>
    <t>3b.  State Sales Tax Per Pupil Amount</t>
  </si>
  <si>
    <t>4b.  Plus the sum of all Beginning-Year Balances from Federal funds:</t>
  </si>
  <si>
    <t>4c.  Less the sum of all End-Of-Year Balances from Federal funds:</t>
  </si>
  <si>
    <t>6a.  Total Expenditures for Operations:</t>
  </si>
  <si>
    <t>6b.  Total Per Pupil Amount:</t>
  </si>
  <si>
    <t>&lt;SELECT DIVISION&gt;</t>
  </si>
  <si>
    <t>001 - ACCOMACK</t>
  </si>
  <si>
    <t>002 - ALBEMARLE</t>
  </si>
  <si>
    <t>004 - AMELIA</t>
  </si>
  <si>
    <t>005 - AMHERST</t>
  </si>
  <si>
    <t>006 - APPOMATTOX</t>
  </si>
  <si>
    <t>007 - ARLINGTON</t>
  </si>
  <si>
    <t>008 - AUGUSTA</t>
  </si>
  <si>
    <t>009 - BATH</t>
  </si>
  <si>
    <t>011 - BLAND</t>
  </si>
  <si>
    <t>012 - BOTETOURT</t>
  </si>
  <si>
    <t>013 - BRUNSWICK</t>
  </si>
  <si>
    <t>014 - BUCHANAN</t>
  </si>
  <si>
    <t>015 - BUCKINGHAM</t>
  </si>
  <si>
    <t>016 - CAMPBELL</t>
  </si>
  <si>
    <t>017 - CAROLINE</t>
  </si>
  <si>
    <t>018 - CARROLL</t>
  </si>
  <si>
    <t>019 - CHARLES CITY COUNTY</t>
  </si>
  <si>
    <t>020 - CHARLOTTE</t>
  </si>
  <si>
    <t>021 - CHESTERFIELD</t>
  </si>
  <si>
    <t>022 - CLARKE</t>
  </si>
  <si>
    <t>023 - CRAIG</t>
  </si>
  <si>
    <t>024 - CULPEPER</t>
  </si>
  <si>
    <t>025 - CUMBERLAND</t>
  </si>
  <si>
    <t>026 - DICKENSON</t>
  </si>
  <si>
    <t>027 - DINWIDDIE</t>
  </si>
  <si>
    <t>028 - ESSEX</t>
  </si>
  <si>
    <t>030 - FAUQUIER</t>
  </si>
  <si>
    <t>031 - FLOYD</t>
  </si>
  <si>
    <t>032 - FLUVANNA</t>
  </si>
  <si>
    <t>033 - FRANKLIN</t>
  </si>
  <si>
    <t>034 - FREDERICK</t>
  </si>
  <si>
    <t>035 - GILES</t>
  </si>
  <si>
    <t>036 - GLOUCESTER</t>
  </si>
  <si>
    <t>037 - GOOCHLAND</t>
  </si>
  <si>
    <t>038 - GRAYSON</t>
  </si>
  <si>
    <t>039 - GREENE</t>
  </si>
  <si>
    <t>041 - HALIFAX</t>
  </si>
  <si>
    <t>042 - HANOVER</t>
  </si>
  <si>
    <t>043 - HENRICO</t>
  </si>
  <si>
    <t>044 - HENRY</t>
  </si>
  <si>
    <t>045 - HIGHLAND</t>
  </si>
  <si>
    <t>046 - ISLE OF WIGHT</t>
  </si>
  <si>
    <t>048 - KING GEORGE</t>
  </si>
  <si>
    <t>049 - KING AND QUEEN</t>
  </si>
  <si>
    <t>050 - KING WILLIAM</t>
  </si>
  <si>
    <t>051 - LANCASTER</t>
  </si>
  <si>
    <t>052 - LEE</t>
  </si>
  <si>
    <t>053 - LOUDOUN</t>
  </si>
  <si>
    <t>054 - LOUISA</t>
  </si>
  <si>
    <t>055 - LUNENBURG</t>
  </si>
  <si>
    <t>056 - MADISON</t>
  </si>
  <si>
    <t>057 - MATHEWS</t>
  </si>
  <si>
    <t>058 - MECKLENBURG</t>
  </si>
  <si>
    <t>059 - MIDDLESEX</t>
  </si>
  <si>
    <t>060 - MONTGOMERY</t>
  </si>
  <si>
    <t>062 - NELSON</t>
  </si>
  <si>
    <t>063 - NEW KENT</t>
  </si>
  <si>
    <t>065 - NORTHAMPTON</t>
  </si>
  <si>
    <t>066 - NORTHUMBERLAND</t>
  </si>
  <si>
    <t>067 - NOTTOWAY</t>
  </si>
  <si>
    <t>068 - ORANGE</t>
  </si>
  <si>
    <t>069 - PAGE</t>
  </si>
  <si>
    <t>070 - PATRICK</t>
  </si>
  <si>
    <t>071 - PITTSYLVANIA</t>
  </si>
  <si>
    <t>072 - POWHATAN</t>
  </si>
  <si>
    <t>073 - PRINCE EDWARD</t>
  </si>
  <si>
    <t>074 - PRINCE GEORGE</t>
  </si>
  <si>
    <t>075 - PRINCE WILLIAM</t>
  </si>
  <si>
    <t>077 - PULASKI</t>
  </si>
  <si>
    <t>078 - RAPPAHANNOCK</t>
  </si>
  <si>
    <t>079 - RICHMOND</t>
  </si>
  <si>
    <t>080 - ROANOKE</t>
  </si>
  <si>
    <t>081 - ROCKBRIDGE</t>
  </si>
  <si>
    <t>082 - ROCKINGHAM</t>
  </si>
  <si>
    <t>083 - RUSSELL</t>
  </si>
  <si>
    <t>084 - SCOTT</t>
  </si>
  <si>
    <t>085 - SHENANDOAH</t>
  </si>
  <si>
    <t>086 - SMYTH</t>
  </si>
  <si>
    <t>087 - SOUTHAMPTON</t>
  </si>
  <si>
    <t>088 - SPOTSYLVANIA</t>
  </si>
  <si>
    <t>089 - STAFFORD</t>
  </si>
  <si>
    <t>090 - SURRY</t>
  </si>
  <si>
    <t>091 - SUSSEX</t>
  </si>
  <si>
    <t>092 - TAZEWELL</t>
  </si>
  <si>
    <t>093 - WARREN</t>
  </si>
  <si>
    <t>094 - WASHINGTON</t>
  </si>
  <si>
    <t>095 - WESTMORELAND</t>
  </si>
  <si>
    <t>096 - WISE</t>
  </si>
  <si>
    <t>097 - WYTHE</t>
  </si>
  <si>
    <t>098 - YORK</t>
  </si>
  <si>
    <t>101 - ALEXANDRIA CITY</t>
  </si>
  <si>
    <t>102 - BRISTOL CITY</t>
  </si>
  <si>
    <t>103 - BUENA VISTA CITY</t>
  </si>
  <si>
    <t>104 - CHARLOTTESVILLE CITY</t>
  </si>
  <si>
    <t>106 - COLONIAL HEIGHTS CITY</t>
  </si>
  <si>
    <t>107 - COVINGTON CITY</t>
  </si>
  <si>
    <t>108 - DANVILLE CITY</t>
  </si>
  <si>
    <t>109 - FALLS CHURCH CITY</t>
  </si>
  <si>
    <t>110 - FREDERICKSBURG CITY</t>
  </si>
  <si>
    <t>111 - GALAX CITY</t>
  </si>
  <si>
    <t>112 - HAMPTON CITY</t>
  </si>
  <si>
    <t>113 - HARRISONBURG CITY</t>
  </si>
  <si>
    <t>114 - HOPEWELL CITY</t>
  </si>
  <si>
    <t>115 - LYNCHBURG CITY</t>
  </si>
  <si>
    <t>116 - MARTINSVILLE CITY</t>
  </si>
  <si>
    <t>117 - NEWPORT NEWS CITY</t>
  </si>
  <si>
    <t>118 - NORFOLK CITY</t>
  </si>
  <si>
    <t>119 - NORTON CITY</t>
  </si>
  <si>
    <t>120 - PETERSBURG CITY</t>
  </si>
  <si>
    <t>121 - PORTSMOUTH CITY</t>
  </si>
  <si>
    <t>122 - RADFORD CITY</t>
  </si>
  <si>
    <t>123 - RICHMOND CITY</t>
  </si>
  <si>
    <t>124 - ROANOKE CITY</t>
  </si>
  <si>
    <t>126 - STAUNTON CITY</t>
  </si>
  <si>
    <t>127 - SUFFOLK CITY</t>
  </si>
  <si>
    <t>128 - VIRGINIA BEACH CITY</t>
  </si>
  <si>
    <t>130 - WAYNESBORO CITY</t>
  </si>
  <si>
    <t>132 - WINCHESTER CITY</t>
  </si>
  <si>
    <t>135 - FRANKLIN CITY</t>
  </si>
  <si>
    <t>136 - CHESAPEAKE CITY</t>
  </si>
  <si>
    <t>137 - LEXINGTON CITY</t>
  </si>
  <si>
    <t>139 - SALEM CITY</t>
  </si>
  <si>
    <t>142 - POQUOSON CITY</t>
  </si>
  <si>
    <t>143 - MANASSAS CITY</t>
  </si>
  <si>
    <t>144 - MANASSAS PARK CITY</t>
  </si>
  <si>
    <t>202 - COLONIAL BEACH</t>
  </si>
  <si>
    <t>207 - WEST POINT</t>
  </si>
  <si>
    <t>SUPERINTENDENT'S ANNUAL REPORT FOR VIRGINIA</t>
  </si>
  <si>
    <t>5b.  Local Per Pupil Amount:</t>
  </si>
  <si>
    <t>End-of-Year</t>
  </si>
  <si>
    <t>ADM for</t>
  </si>
  <si>
    <t>State Retail Sales</t>
  </si>
  <si>
    <t>Determining</t>
  </si>
  <si>
    <t>State</t>
  </si>
  <si>
    <t>Total</t>
  </si>
  <si>
    <t>Cost Per</t>
  </si>
  <si>
    <t>Per</t>
  </si>
  <si>
    <t>Expenditures for</t>
  </si>
  <si>
    <t>Per Pupil</t>
  </si>
  <si>
    <t>Amount</t>
  </si>
  <si>
    <t>Pupil</t>
  </si>
  <si>
    <t>COUNTIES</t>
  </si>
  <si>
    <t>Albemarle</t>
  </si>
  <si>
    <t>Amelia</t>
  </si>
  <si>
    <t>Amherst</t>
  </si>
  <si>
    <t>Appomattox</t>
  </si>
  <si>
    <t>Arlington</t>
  </si>
  <si>
    <t>Augusta</t>
  </si>
  <si>
    <t>Bath</t>
  </si>
  <si>
    <t>Bland</t>
  </si>
  <si>
    <t>Botetourt</t>
  </si>
  <si>
    <t>Brunswick</t>
  </si>
  <si>
    <t>Buchanan</t>
  </si>
  <si>
    <t>Buckingham</t>
  </si>
  <si>
    <t>Campbell</t>
  </si>
  <si>
    <t>Caroline</t>
  </si>
  <si>
    <t>Carroll</t>
  </si>
  <si>
    <t>Charles City</t>
  </si>
  <si>
    <t>Charlotte</t>
  </si>
  <si>
    <t>Chesterfield</t>
  </si>
  <si>
    <t>Clarke</t>
  </si>
  <si>
    <t>Craig</t>
  </si>
  <si>
    <t>Culpeper</t>
  </si>
  <si>
    <t>Cumberland</t>
  </si>
  <si>
    <t>Dickenson</t>
  </si>
  <si>
    <t>Dinwiddie</t>
  </si>
  <si>
    <t>Essex</t>
  </si>
  <si>
    <t>Fauquier</t>
  </si>
  <si>
    <t>Floyd</t>
  </si>
  <si>
    <t>Fluvanna</t>
  </si>
  <si>
    <t>Franklin</t>
  </si>
  <si>
    <t>Frederick</t>
  </si>
  <si>
    <t>Giles</t>
  </si>
  <si>
    <t>Gloucester</t>
  </si>
  <si>
    <t>Goochland</t>
  </si>
  <si>
    <t>Grayson</t>
  </si>
  <si>
    <t>Greene</t>
  </si>
  <si>
    <t>Halifax</t>
  </si>
  <si>
    <t>Hanover</t>
  </si>
  <si>
    <t>Henrico</t>
  </si>
  <si>
    <t>Henry</t>
  </si>
  <si>
    <t>Highland</t>
  </si>
  <si>
    <t>Isle Of Wight</t>
  </si>
  <si>
    <t>King &amp; Queen</t>
  </si>
  <si>
    <t>King George</t>
  </si>
  <si>
    <t>King William</t>
  </si>
  <si>
    <t>Lancaster</t>
  </si>
  <si>
    <t>Lee</t>
  </si>
  <si>
    <t>Loudoun</t>
  </si>
  <si>
    <t>Louisa</t>
  </si>
  <si>
    <t>Lunenburg</t>
  </si>
  <si>
    <t>Madison</t>
  </si>
  <si>
    <t>Mathews</t>
  </si>
  <si>
    <t>Mecklenburg</t>
  </si>
  <si>
    <t>Middlesex</t>
  </si>
  <si>
    <t>Montgomery</t>
  </si>
  <si>
    <t>Nelson</t>
  </si>
  <si>
    <t>New Kent</t>
  </si>
  <si>
    <t>Northampton</t>
  </si>
  <si>
    <t>Northumberland</t>
  </si>
  <si>
    <t>Nottoway</t>
  </si>
  <si>
    <t>Orange</t>
  </si>
  <si>
    <t>Page</t>
  </si>
  <si>
    <t>Patrick</t>
  </si>
  <si>
    <t>Pittsylvania</t>
  </si>
  <si>
    <t>Powhatan</t>
  </si>
  <si>
    <t>Prince Edward</t>
  </si>
  <si>
    <t>Prince George</t>
  </si>
  <si>
    <t>Prince William</t>
  </si>
  <si>
    <t>Pulaski</t>
  </si>
  <si>
    <t>Rappahannock</t>
  </si>
  <si>
    <t>Richmond</t>
  </si>
  <si>
    <t>Roanoke</t>
  </si>
  <si>
    <t>Rockbridge</t>
  </si>
  <si>
    <t>Rockingham</t>
  </si>
  <si>
    <t>Russell</t>
  </si>
  <si>
    <t>Scott</t>
  </si>
  <si>
    <t>Shenandoah</t>
  </si>
  <si>
    <t>Smyth</t>
  </si>
  <si>
    <t>Southampton</t>
  </si>
  <si>
    <t>Spotsylvania</t>
  </si>
  <si>
    <t>Stafford</t>
  </si>
  <si>
    <t>Surry</t>
  </si>
  <si>
    <t>Sussex</t>
  </si>
  <si>
    <t>Tazewell</t>
  </si>
  <si>
    <t>Warren</t>
  </si>
  <si>
    <t>Washington</t>
  </si>
  <si>
    <t>Westmoreland</t>
  </si>
  <si>
    <t>Wise</t>
  </si>
  <si>
    <t>Wythe</t>
  </si>
  <si>
    <t>York</t>
  </si>
  <si>
    <t>CITIES</t>
  </si>
  <si>
    <t>Alexandria</t>
  </si>
  <si>
    <t>Bristol</t>
  </si>
  <si>
    <t>Buena Vista</t>
  </si>
  <si>
    <t>Charlottesville</t>
  </si>
  <si>
    <t>Chesapeake</t>
  </si>
  <si>
    <t>Covington</t>
  </si>
  <si>
    <t>Danville</t>
  </si>
  <si>
    <t>Falls Church</t>
  </si>
  <si>
    <t>Galax</t>
  </si>
  <si>
    <t>Hampton</t>
  </si>
  <si>
    <t>Harrisonburg</t>
  </si>
  <si>
    <t>Hopewell</t>
  </si>
  <si>
    <t>Lexington</t>
  </si>
  <si>
    <t>Lynchburg</t>
  </si>
  <si>
    <t>Manassas</t>
  </si>
  <si>
    <t>Manassas Park</t>
  </si>
  <si>
    <t>Martinsville</t>
  </si>
  <si>
    <t>Newport News</t>
  </si>
  <si>
    <t>Norfolk</t>
  </si>
  <si>
    <t>Norton</t>
  </si>
  <si>
    <t>Petersburg</t>
  </si>
  <si>
    <t>Poquoson</t>
  </si>
  <si>
    <t>Portsmouth</t>
  </si>
  <si>
    <t>Radford</t>
  </si>
  <si>
    <t>Salem</t>
  </si>
  <si>
    <t>Staunton</t>
  </si>
  <si>
    <t>Suffolk</t>
  </si>
  <si>
    <t>Waynesboro</t>
  </si>
  <si>
    <t>Winchester</t>
  </si>
  <si>
    <t>TOWNS</t>
  </si>
  <si>
    <t>Colonial Beach</t>
  </si>
  <si>
    <t>West Point</t>
  </si>
  <si>
    <t>Colonial Heights</t>
  </si>
  <si>
    <t>Fredericksburg</t>
  </si>
  <si>
    <t>Virginia Beach</t>
  </si>
  <si>
    <t>003 - ALLEGHANY</t>
  </si>
  <si>
    <t xml:space="preserve">Table 15 of the Superintendent's Annual Report for Virginia </t>
  </si>
  <si>
    <t>Accomack</t>
  </si>
  <si>
    <t>5a.  Total Local Expenditures for Operations</t>
  </si>
  <si>
    <t>Alleghany</t>
  </si>
  <si>
    <t>School Division</t>
  </si>
  <si>
    <t>DIV NUM</t>
  </si>
  <si>
    <t>DIVISION</t>
  </si>
  <si>
    <t>State Expenditures</t>
  </si>
  <si>
    <t>State PPA</t>
  </si>
  <si>
    <t>Federal Expenditures</t>
  </si>
  <si>
    <t>Federal PPA</t>
  </si>
  <si>
    <t>Local Expenditures</t>
  </si>
  <si>
    <t>Local PPA</t>
  </si>
  <si>
    <t>Total Expenditures</t>
  </si>
  <si>
    <t>Total PPA</t>
  </si>
  <si>
    <t>ACCOMACK</t>
  </si>
  <si>
    <t>ALBEMARLE</t>
  </si>
  <si>
    <t>ALLEGHANY</t>
  </si>
  <si>
    <t>AMELIA</t>
  </si>
  <si>
    <t>AMHERST</t>
  </si>
  <si>
    <t>APPOMATTOX</t>
  </si>
  <si>
    <t>ARLINGTON</t>
  </si>
  <si>
    <t>AUGUSTA</t>
  </si>
  <si>
    <t>BATH</t>
  </si>
  <si>
    <t>BEDFORD</t>
  </si>
  <si>
    <t>BLAND</t>
  </si>
  <si>
    <t>BOTETOURT</t>
  </si>
  <si>
    <t>BRUNSWICK</t>
  </si>
  <si>
    <t>BUCHANAN</t>
  </si>
  <si>
    <t>BUCKINGHAM</t>
  </si>
  <si>
    <t>CAMPBELL</t>
  </si>
  <si>
    <t>CAROLINE</t>
  </si>
  <si>
    <t>CARROLL</t>
  </si>
  <si>
    <t>CHARLES CITY</t>
  </si>
  <si>
    <t>CHARLOTTE</t>
  </si>
  <si>
    <t>CHESTERFIELD</t>
  </si>
  <si>
    <t>CLARKE</t>
  </si>
  <si>
    <t>CRAIG</t>
  </si>
  <si>
    <t>CULPEPER</t>
  </si>
  <si>
    <t>CUMBERLAND</t>
  </si>
  <si>
    <t>DICKENSON</t>
  </si>
  <si>
    <t>DINWIDDIE</t>
  </si>
  <si>
    <t>ESSEX</t>
  </si>
  <si>
    <t>FAIRFAX</t>
  </si>
  <si>
    <t>FAUQUIER</t>
  </si>
  <si>
    <t>FLOYD</t>
  </si>
  <si>
    <t>FLUVANNA</t>
  </si>
  <si>
    <t>FRANKLIN</t>
  </si>
  <si>
    <t>FREDERICK</t>
  </si>
  <si>
    <t>GILES</t>
  </si>
  <si>
    <t>GLOUCESTER</t>
  </si>
  <si>
    <t>GOOCHLAND</t>
  </si>
  <si>
    <t>GRAYSON</t>
  </si>
  <si>
    <t>GREENE</t>
  </si>
  <si>
    <t>GREENSVILLE</t>
  </si>
  <si>
    <t>HALIFAX</t>
  </si>
  <si>
    <t>HANOVER</t>
  </si>
  <si>
    <t>HENRICO</t>
  </si>
  <si>
    <t>HENRY</t>
  </si>
  <si>
    <t>HIGHLAND</t>
  </si>
  <si>
    <t>ISLE OF WIGHT</t>
  </si>
  <si>
    <t>JAMES CITY</t>
  </si>
  <si>
    <t>KING GEORGE</t>
  </si>
  <si>
    <t>KING QUEEN</t>
  </si>
  <si>
    <t>KING WILLIAM</t>
  </si>
  <si>
    <t>LANCASTER</t>
  </si>
  <si>
    <t>LEE</t>
  </si>
  <si>
    <t>LOUDOUN</t>
  </si>
  <si>
    <t>LOUISA</t>
  </si>
  <si>
    <t>LUNENBURG</t>
  </si>
  <si>
    <t>MADISON</t>
  </si>
  <si>
    <t>MATHEWS</t>
  </si>
  <si>
    <t>MECKLENBURG</t>
  </si>
  <si>
    <t>MIDDLESEX</t>
  </si>
  <si>
    <t>MONTGOMERY</t>
  </si>
  <si>
    <t>NELSON</t>
  </si>
  <si>
    <t>NEW KENT</t>
  </si>
  <si>
    <t>NORTHAMPTON</t>
  </si>
  <si>
    <t>NORTHUMBERLAND</t>
  </si>
  <si>
    <t>NOTTOWAY</t>
  </si>
  <si>
    <t>ORANGE</t>
  </si>
  <si>
    <t>PAGE</t>
  </si>
  <si>
    <t>PATRICK</t>
  </si>
  <si>
    <t>PITTSYLVANIA</t>
  </si>
  <si>
    <t>POWHATAN</t>
  </si>
  <si>
    <t>PRINCE EDWARD</t>
  </si>
  <si>
    <t>PRINCE GEORGE</t>
  </si>
  <si>
    <t>PRINCE WILLIAM</t>
  </si>
  <si>
    <t>PULASKI</t>
  </si>
  <si>
    <t>RAPPAHANNOCK</t>
  </si>
  <si>
    <t>RICHMOND</t>
  </si>
  <si>
    <t>ROANOKE</t>
  </si>
  <si>
    <t>ROCKBRIDGE</t>
  </si>
  <si>
    <t>ROCKINGHAM</t>
  </si>
  <si>
    <t>RUSSELL</t>
  </si>
  <si>
    <t>SCOTT</t>
  </si>
  <si>
    <t>SHENANDOAH</t>
  </si>
  <si>
    <t>SMYTH</t>
  </si>
  <si>
    <t>SOUTHAMPTON</t>
  </si>
  <si>
    <t>SPOTSYLVANIA</t>
  </si>
  <si>
    <t>STAFFORD</t>
  </si>
  <si>
    <t>SURRY</t>
  </si>
  <si>
    <t>SUSSEX</t>
  </si>
  <si>
    <t>TAZEWELL</t>
  </si>
  <si>
    <t>WARREN</t>
  </si>
  <si>
    <t>WASHINGTON</t>
  </si>
  <si>
    <t>WESTMORELAND</t>
  </si>
  <si>
    <t>WISE</t>
  </si>
  <si>
    <t>WYTHE</t>
  </si>
  <si>
    <t>YORK</t>
  </si>
  <si>
    <t>ALEXANDRIA</t>
  </si>
  <si>
    <t>BRISTOL</t>
  </si>
  <si>
    <t>BUENA VISTA</t>
  </si>
  <si>
    <t>CHARLOTTESVILLE</t>
  </si>
  <si>
    <t>COLONIAL HEIGHTS</t>
  </si>
  <si>
    <t>COVINGTON</t>
  </si>
  <si>
    <t>DANVILLE</t>
  </si>
  <si>
    <t>FALLS CHURCH</t>
  </si>
  <si>
    <t>FREDERICKSBURG</t>
  </si>
  <si>
    <t>GALAX</t>
  </si>
  <si>
    <t>HAMPTON</t>
  </si>
  <si>
    <t>HARRISONBURG</t>
  </si>
  <si>
    <t>HOPEWELL</t>
  </si>
  <si>
    <t>LYNCHBURG</t>
  </si>
  <si>
    <t>MARTINSVILLE</t>
  </si>
  <si>
    <t>NEWPORT NEWS</t>
  </si>
  <si>
    <t>NORFOLK</t>
  </si>
  <si>
    <t>NORTON</t>
  </si>
  <si>
    <t>PETERSBURG</t>
  </si>
  <si>
    <t>PORTSMOUTH</t>
  </si>
  <si>
    <t>RADFORD</t>
  </si>
  <si>
    <t>RICHMOND CITY</t>
  </si>
  <si>
    <t>ROANOKE CITY</t>
  </si>
  <si>
    <t>STAUNTON</t>
  </si>
  <si>
    <t>SUFFOLK</t>
  </si>
  <si>
    <t>VIRGINIA BEACH</t>
  </si>
  <si>
    <t>WAYNESBORO</t>
  </si>
  <si>
    <t>WILLIAMSBURG</t>
  </si>
  <si>
    <t>WINCHESTER</t>
  </si>
  <si>
    <t>FAIRFAX CITY</t>
  </si>
  <si>
    <t>FRANKLIN CITY</t>
  </si>
  <si>
    <t>CHESAPEAKE CITY</t>
  </si>
  <si>
    <t>LEXINGTON</t>
  </si>
  <si>
    <t>EMPORIA</t>
  </si>
  <si>
    <t>SALEM</t>
  </si>
  <si>
    <t>BEDFORD CITY</t>
  </si>
  <si>
    <t>POQUOSON</t>
  </si>
  <si>
    <t>MANASSAS CITY</t>
  </si>
  <si>
    <t>MANASSAS PARK</t>
  </si>
  <si>
    <t>COLONIAL BEACH</t>
  </si>
  <si>
    <t>WEST POINT</t>
  </si>
  <si>
    <t>4f.  Federal Per Pupil Amount:</t>
  </si>
  <si>
    <t>4e.  Total Federal Expenditures for Operations:</t>
  </si>
  <si>
    <t>131 - WILLIAMSBURG CITY</t>
  </si>
  <si>
    <t>Div</t>
  </si>
  <si>
    <t>State Rev</t>
  </si>
  <si>
    <t>S - BOY</t>
  </si>
  <si>
    <t>S - EOY</t>
  </si>
  <si>
    <t>S - Capital</t>
  </si>
  <si>
    <t>Exp Deduct</t>
  </si>
  <si>
    <t>Total State</t>
  </si>
  <si>
    <t>Sales Tax</t>
  </si>
  <si>
    <t>Federal</t>
  </si>
  <si>
    <t>F - BOY</t>
  </si>
  <si>
    <t>F - EOY</t>
  </si>
  <si>
    <t>F - Capital</t>
  </si>
  <si>
    <t>Total Federal</t>
  </si>
  <si>
    <t>Local</t>
  </si>
  <si>
    <t>Local Tuition Deduct</t>
  </si>
  <si>
    <t>Expenditures</t>
  </si>
  <si>
    <t>Check T-15 State</t>
  </si>
  <si>
    <t>Check T-15 PPA State</t>
  </si>
  <si>
    <t>Check T-15 Federal</t>
  </si>
  <si>
    <t>Check T-15 PPA Federal</t>
  </si>
  <si>
    <t>Check T-15 Local</t>
  </si>
  <si>
    <t>Check T-15 PPA Local</t>
  </si>
  <si>
    <t>Check T-15 Total</t>
  </si>
  <si>
    <t>Check T-15 PPA Total</t>
  </si>
  <si>
    <t xml:space="preserve"> ACCOMACK</t>
  </si>
  <si>
    <t xml:space="preserve"> ALBEMARLE</t>
  </si>
  <si>
    <t xml:space="preserve"> ALLEGHANY</t>
  </si>
  <si>
    <t xml:space="preserve"> AMELIA</t>
  </si>
  <si>
    <t xml:space="preserve"> AMHERST</t>
  </si>
  <si>
    <t xml:space="preserve"> APPOMATTOX</t>
  </si>
  <si>
    <t xml:space="preserve"> ARLINGTON</t>
  </si>
  <si>
    <t xml:space="preserve"> AUGUSTA</t>
  </si>
  <si>
    <t xml:space="preserve"> BATH</t>
  </si>
  <si>
    <t xml:space="preserve"> BLAND</t>
  </si>
  <si>
    <t xml:space="preserve"> BOTETOURT</t>
  </si>
  <si>
    <t xml:space="preserve"> BRUNSWICK</t>
  </si>
  <si>
    <t xml:space="preserve"> BUCHANAN</t>
  </si>
  <si>
    <t xml:space="preserve"> BUCKINGHAM</t>
  </si>
  <si>
    <t xml:space="preserve"> CAMPBELL</t>
  </si>
  <si>
    <t xml:space="preserve"> CAROLINE</t>
  </si>
  <si>
    <t xml:space="preserve"> CARROLL</t>
  </si>
  <si>
    <t xml:space="preserve"> CHARLES CITY COUNTY</t>
  </si>
  <si>
    <t xml:space="preserve"> CHARLOTTE</t>
  </si>
  <si>
    <t xml:space="preserve"> CHESTERFIELD</t>
  </si>
  <si>
    <t xml:space="preserve"> CLARKE</t>
  </si>
  <si>
    <t xml:space="preserve"> CRAIG</t>
  </si>
  <si>
    <t xml:space="preserve"> CULPEPER</t>
  </si>
  <si>
    <t xml:space="preserve"> CUMBERLAND</t>
  </si>
  <si>
    <t xml:space="preserve"> DICKENSON</t>
  </si>
  <si>
    <t xml:space="preserve"> DINWIDDIE</t>
  </si>
  <si>
    <t xml:space="preserve"> ESSEX</t>
  </si>
  <si>
    <t xml:space="preserve"> FAUQUIER</t>
  </si>
  <si>
    <t xml:space="preserve"> FLOYD</t>
  </si>
  <si>
    <t xml:space="preserve"> FLUVANNA</t>
  </si>
  <si>
    <t xml:space="preserve"> FRANKLIN</t>
  </si>
  <si>
    <t xml:space="preserve"> FREDERICK</t>
  </si>
  <si>
    <t xml:space="preserve"> GILES</t>
  </si>
  <si>
    <t xml:space="preserve"> GLOUCESTER</t>
  </si>
  <si>
    <t xml:space="preserve"> GOOCHLAND</t>
  </si>
  <si>
    <t xml:space="preserve"> GRAYSON</t>
  </si>
  <si>
    <t xml:space="preserve"> GREENE</t>
  </si>
  <si>
    <t xml:space="preserve"> HALIFAX</t>
  </si>
  <si>
    <t xml:space="preserve"> HANOVER</t>
  </si>
  <si>
    <t xml:space="preserve"> HENRICO</t>
  </si>
  <si>
    <t xml:space="preserve"> HENRY</t>
  </si>
  <si>
    <t xml:space="preserve"> HIGHLAND</t>
  </si>
  <si>
    <t xml:space="preserve"> ISLE OF WIGHT</t>
  </si>
  <si>
    <t xml:space="preserve"> KING GEORGE</t>
  </si>
  <si>
    <t xml:space="preserve"> KING AND QUEEN</t>
  </si>
  <si>
    <t xml:space="preserve"> KING WILLIAM</t>
  </si>
  <si>
    <t xml:space="preserve"> LANCASTER</t>
  </si>
  <si>
    <t xml:space="preserve"> LEE</t>
  </si>
  <si>
    <t xml:space="preserve"> LOUDOUN</t>
  </si>
  <si>
    <t xml:space="preserve"> LOUISA</t>
  </si>
  <si>
    <t xml:space="preserve"> LUNENBURG</t>
  </si>
  <si>
    <t xml:space="preserve"> MADISON</t>
  </si>
  <si>
    <t xml:space="preserve"> MATHEWS</t>
  </si>
  <si>
    <t xml:space="preserve"> MECKLENBURG</t>
  </si>
  <si>
    <t xml:space="preserve"> MIDDLESEX</t>
  </si>
  <si>
    <t xml:space="preserve"> MONTGOMERY</t>
  </si>
  <si>
    <t xml:space="preserve"> NELSON</t>
  </si>
  <si>
    <t xml:space="preserve"> NEW KENT</t>
  </si>
  <si>
    <t xml:space="preserve"> NORTHAMPTON</t>
  </si>
  <si>
    <t xml:space="preserve"> NORTHUMBERLAND</t>
  </si>
  <si>
    <t xml:space="preserve"> NOTTOWAY</t>
  </si>
  <si>
    <t xml:space="preserve"> ORANGE</t>
  </si>
  <si>
    <t xml:space="preserve"> PAGE</t>
  </si>
  <si>
    <t xml:space="preserve"> PATRICK</t>
  </si>
  <si>
    <t xml:space="preserve"> PITTSYLVANIA</t>
  </si>
  <si>
    <t xml:space="preserve"> POWHATAN</t>
  </si>
  <si>
    <t xml:space="preserve"> PRINCE EDWARD</t>
  </si>
  <si>
    <t xml:space="preserve"> PRINCE GEORGE</t>
  </si>
  <si>
    <t xml:space="preserve"> PRINCE WILLIAM</t>
  </si>
  <si>
    <t xml:space="preserve"> PULASKI</t>
  </si>
  <si>
    <t xml:space="preserve"> RAPPAHANNOCK</t>
  </si>
  <si>
    <t xml:space="preserve"> RICHMOND</t>
  </si>
  <si>
    <t xml:space="preserve"> ROANOKE</t>
  </si>
  <si>
    <t xml:space="preserve"> ROCKBRIDGE</t>
  </si>
  <si>
    <t xml:space="preserve"> ROCKINGHAM</t>
  </si>
  <si>
    <t xml:space="preserve"> RUSSELL</t>
  </si>
  <si>
    <t xml:space="preserve"> SCOTT</t>
  </si>
  <si>
    <t xml:space="preserve"> SHENANDOAH</t>
  </si>
  <si>
    <t xml:space="preserve"> SMYTH</t>
  </si>
  <si>
    <t xml:space="preserve"> SOUTHAMPTON</t>
  </si>
  <si>
    <t xml:space="preserve"> SPOTSYLVANIA</t>
  </si>
  <si>
    <t xml:space="preserve"> STAFFORD</t>
  </si>
  <si>
    <t xml:space="preserve"> SURRY</t>
  </si>
  <si>
    <t xml:space="preserve"> SUSSEX</t>
  </si>
  <si>
    <t xml:space="preserve"> TAZEWELL</t>
  </si>
  <si>
    <t xml:space="preserve"> WARREN</t>
  </si>
  <si>
    <t xml:space="preserve"> WASHINGTON</t>
  </si>
  <si>
    <t xml:space="preserve"> WESTMORELAND</t>
  </si>
  <si>
    <t xml:space="preserve"> WISE</t>
  </si>
  <si>
    <t xml:space="preserve"> WYTHE</t>
  </si>
  <si>
    <t xml:space="preserve"> YORK</t>
  </si>
  <si>
    <t xml:space="preserve"> ALEXANDRIA CITY</t>
  </si>
  <si>
    <t xml:space="preserve"> BRISTOL CITY</t>
  </si>
  <si>
    <t xml:space="preserve"> BUENA VISTA CITY</t>
  </si>
  <si>
    <t xml:space="preserve"> CHARLOTTESVILLE CITY</t>
  </si>
  <si>
    <t xml:space="preserve"> COLONIAL HEIGHTS CITY</t>
  </si>
  <si>
    <t xml:space="preserve"> COVINGTON CITY</t>
  </si>
  <si>
    <t xml:space="preserve"> DANVILLE CITY</t>
  </si>
  <si>
    <t xml:space="preserve"> FALLS CHURCH CITY</t>
  </si>
  <si>
    <t xml:space="preserve"> FREDERICKSBURG CITY</t>
  </si>
  <si>
    <t xml:space="preserve"> GALAX CITY</t>
  </si>
  <si>
    <t xml:space="preserve"> HAMPTON CITY</t>
  </si>
  <si>
    <t xml:space="preserve"> HARRISONBURG CITY</t>
  </si>
  <si>
    <t xml:space="preserve"> HOPEWELL CITY</t>
  </si>
  <si>
    <t xml:space="preserve"> LYNCHBURG CITY</t>
  </si>
  <si>
    <t xml:space="preserve"> MARTINSVILLE CITY</t>
  </si>
  <si>
    <t xml:space="preserve"> NEWPORT NEWS CITY</t>
  </si>
  <si>
    <t xml:space="preserve"> NORFOLK CITY</t>
  </si>
  <si>
    <t xml:space="preserve"> NORTON CITY</t>
  </si>
  <si>
    <t xml:space="preserve"> PETERSBURG CITY</t>
  </si>
  <si>
    <t xml:space="preserve"> PORTSMOUTH CITY</t>
  </si>
  <si>
    <t xml:space="preserve"> RADFORD CITY</t>
  </si>
  <si>
    <t xml:space="preserve"> RICHMOND CITY</t>
  </si>
  <si>
    <t xml:space="preserve"> ROANOKE CITY</t>
  </si>
  <si>
    <t xml:space="preserve"> STAUNTON CITY</t>
  </si>
  <si>
    <t xml:space="preserve"> SUFFOLK CITY</t>
  </si>
  <si>
    <t xml:space="preserve"> VIRGINIA BEACH CITY</t>
  </si>
  <si>
    <t xml:space="preserve"> WAYNESBORO CITY</t>
  </si>
  <si>
    <t xml:space="preserve"> WILLIAMSBURG CITY</t>
  </si>
  <si>
    <t xml:space="preserve"> WINCHESTER CITY</t>
  </si>
  <si>
    <t xml:space="preserve"> FRANKLIN CITY</t>
  </si>
  <si>
    <t xml:space="preserve"> CHESAPEAKE CITY</t>
  </si>
  <si>
    <t xml:space="preserve"> LEXINGTON CITY</t>
  </si>
  <si>
    <t xml:space="preserve"> SALEM CITY</t>
  </si>
  <si>
    <t xml:space="preserve"> POQUOSON CITY</t>
  </si>
  <si>
    <t xml:space="preserve"> MANASSAS CITY</t>
  </si>
  <si>
    <t xml:space="preserve"> MANASSAS PARK CITY</t>
  </si>
  <si>
    <t xml:space="preserve"> COLONIAL BEACH</t>
  </si>
  <si>
    <t xml:space="preserve"> WEST POINT</t>
  </si>
  <si>
    <r>
      <t xml:space="preserve">Pupil </t>
    </r>
    <r>
      <rPr>
        <vertAlign val="superscript"/>
        <sz val="9"/>
        <rFont val="Arial"/>
        <family val="2"/>
      </rPr>
      <t>2</t>
    </r>
  </si>
  <si>
    <r>
      <t>5</t>
    </r>
    <r>
      <rPr>
        <sz val="10"/>
        <rFont val="Arial"/>
        <family val="2"/>
      </rPr>
      <t xml:space="preserve">  Support by fund source may not equal total expenditures due to rounding.</t>
    </r>
  </si>
  <si>
    <r>
      <t xml:space="preserve">Expenditure </t>
    </r>
    <r>
      <rPr>
        <vertAlign val="superscript"/>
        <sz val="9"/>
        <rFont val="Arial"/>
        <family val="2"/>
      </rPr>
      <t>5</t>
    </r>
  </si>
  <si>
    <r>
      <t xml:space="preserve">Operations </t>
    </r>
    <r>
      <rPr>
        <vertAlign val="superscript"/>
        <sz val="9"/>
        <rFont val="Arial"/>
        <family val="2"/>
      </rPr>
      <t>3</t>
    </r>
  </si>
  <si>
    <t>3a.  Less State Sales Tax Revenues (revenues 240308 and 240312):</t>
  </si>
  <si>
    <t xml:space="preserve">1b.  Less tuition from another county or city (revenue 1901010 and 1901020): </t>
  </si>
  <si>
    <t>040 - GREENSVILLE</t>
  </si>
  <si>
    <t>010 - BEDFORD</t>
  </si>
  <si>
    <t xml:space="preserve"> BEDFORD</t>
  </si>
  <si>
    <t>4d.  Less total Federal funds used for capital expenditures (Schedule G of ASRFIN):</t>
  </si>
  <si>
    <t xml:space="preserve"> FAIRFAX</t>
  </si>
  <si>
    <t>029 - FAIRFAX</t>
  </si>
  <si>
    <t xml:space="preserve"> GREENSVILLE</t>
  </si>
  <si>
    <t xml:space="preserve"> </t>
  </si>
  <si>
    <t xml:space="preserve"> Debt Service (Schedule G of ASRFIN):</t>
  </si>
  <si>
    <t>Bedford County/City 6</t>
  </si>
  <si>
    <t>Fairfax County/City6</t>
  </si>
  <si>
    <t>Greensville/Emporia 6</t>
  </si>
  <si>
    <t>Williamsburg 6</t>
  </si>
  <si>
    <t>NUM</t>
  </si>
  <si>
    <t>SALES TAX</t>
  </si>
  <si>
    <t>State Totals:</t>
  </si>
  <si>
    <t>Cell Comment Detail:</t>
  </si>
  <si>
    <t>2d.  Less the sum of all End-Of-Year Balances from State funds:</t>
  </si>
  <si>
    <t>2e.  Less total State funds used for capital expenditures and</t>
  </si>
  <si>
    <t>2c. Plus state revenues to divisions participating in regional programs:</t>
  </si>
  <si>
    <t>Alternative Education</t>
  </si>
  <si>
    <t>Academic Year Governor's Schools</t>
  </si>
  <si>
    <t>2f.  Total State Expenditures for Operations:</t>
  </si>
  <si>
    <t>2g.  State Per Pupil Amount:</t>
  </si>
  <si>
    <t>1d.  Total expenditures for operations:</t>
  </si>
  <si>
    <t>ALT ED AMT</t>
  </si>
  <si>
    <t>GOVS SCHOOL</t>
  </si>
  <si>
    <t>DABS Alt Ed and Govs School</t>
  </si>
  <si>
    <t>1c.  Plus state revenues to divisions participating in regional programs:</t>
  </si>
  <si>
    <r>
      <t xml:space="preserve">Sources of Financial Support for Expenditures, Total Expenditures for Operations </t>
    </r>
    <r>
      <rPr>
        <b/>
        <vertAlign val="superscript"/>
        <sz val="9"/>
        <rFont val="Arial"/>
        <family val="2"/>
      </rPr>
      <t>1, 8</t>
    </r>
    <r>
      <rPr>
        <b/>
        <sz val="9"/>
        <rFont val="Arial"/>
        <family val="2"/>
      </rPr>
      <t xml:space="preserve"> and Total Per Pupil Expenditures for Operations</t>
    </r>
  </si>
  <si>
    <t>includes Bedford CIty</t>
  </si>
  <si>
    <t>includes Fairfax City</t>
  </si>
  <si>
    <t>includes Emporia</t>
  </si>
  <si>
    <t>includes James City County</t>
  </si>
  <si>
    <t>included in Bedford County</t>
  </si>
  <si>
    <t>included in Greensville</t>
  </si>
  <si>
    <t>included in Fairfax County</t>
  </si>
  <si>
    <t>included in Williamsburg</t>
  </si>
  <si>
    <t>BOD EOY ADM WITH PRE-K</t>
  </si>
  <si>
    <r>
      <t>3</t>
    </r>
    <r>
      <rPr>
        <sz val="10"/>
        <rFont val="Arial"/>
        <family val="2"/>
      </rPr>
      <t xml:space="preserve">  Expenditures exclude tuition payments (revenue source code 1901010 and 1901020) received from other LEAs.</t>
    </r>
  </si>
  <si>
    <r>
      <t>4</t>
    </r>
    <r>
      <rPr>
        <sz val="10"/>
        <rFont val="Arial"/>
        <family val="2"/>
      </rPr>
      <t xml:space="preserve">  Sales Tax amounts are as reported on the Annual School Report and include both the one percent and one-eighth percent.</t>
    </r>
  </si>
  <si>
    <r>
      <t>7</t>
    </r>
    <r>
      <rPr>
        <sz val="10"/>
        <rFont val="Arial"/>
        <family val="2"/>
      </rPr>
      <t xml:space="preserve">  State level per pupil amounts are calculated based on statewide totals.  For example: state level "local per pupil amount" = state level "local amount" divided by the state level "End-of-Year ADM for determining Cost Per Pupil". </t>
    </r>
  </si>
  <si>
    <r>
      <t>Item 1a:</t>
    </r>
    <r>
      <rPr>
        <sz val="10"/>
        <rFont val="Arial"/>
        <family val="2"/>
      </rPr>
      <t xml:space="preserve">  TOTAL EXPENDITURES FOR OPERATIONS DEFINED AS:   
a) From the Annual School Report Financial Section (ASRFIN) the sum of all expenditures in ASRFIN functions between 61100 and 69950; excluding functions 67100, 68900, and 69900;
b) ASRFIN Programs 1 through 8, 11 only (exclude programs 9 and 10);
c) Exclude object code 8200, 8210, and 8220 from all functions; 
d) Exclude object code 8100 from the Facilities function only (functions 66100 through 66600);
e) Exclude object codes 8110 and 8120 from Technology (Activity 68800);
f) Exclude object code 8100 from Contingency Reserve (Activity 69800); and,
g) Exclude the following function-object combinations:
  - Function 67200 - Objection Code 9400
  - Function 67200 - Objection Code 9800
  - Function 67300 - Objection Code 9600
  - Function 67300 - Objection Codes 9700, 9710, 9720, 9730, 9740</t>
    </r>
  </si>
  <si>
    <t>000 - &lt;SELECT DIVISION&gt;</t>
  </si>
  <si>
    <t>7.  End-Of-Year Average Daily Membership (includes Pre-K):</t>
  </si>
  <si>
    <r>
      <t>1</t>
    </r>
    <r>
      <rPr>
        <sz val="10"/>
        <rFont val="Arial"/>
        <family val="2"/>
      </rPr>
      <t xml:space="preserve">  Operations include regular day school, school food services, summer school, adult education, pre-kindergarten, and other education, but do not include non-regular day school programs, non-local education agency (LEA) programs, debt service, or capital outlay additions.  Non-LEA programs include expenditures made by a school division for state-operated education programs (in hospitals, clinics, and detention homes) that are located within the school division and reimbursed with state funds.</t>
    </r>
  </si>
  <si>
    <r>
      <t>2</t>
    </r>
    <r>
      <rPr>
        <sz val="10"/>
        <rFont val="Arial"/>
        <family val="2"/>
      </rPr>
      <t xml:space="preserve">  The Average Daily Membership (ADM) calculated at the end of the school year includes the ADM of pupils served in the school division and the ADM of resident pupils for whom tuition is paid to another school division, regional special education program, or private school.  It excludes students for whom the division receives tuition payments from another division or entity (i.e., out-of-state school division, Comprehensive Services Act, Interstate Compact Agreement).</t>
    </r>
  </si>
  <si>
    <r>
      <t>6</t>
    </r>
    <r>
      <rPr>
        <sz val="10"/>
        <rFont val="Arial"/>
        <family val="2"/>
      </rPr>
      <t xml:space="preserve"> Data for jointly-operated school divisions (Fairfax City and Fairfax County; Emporia City and Greensville County; and Williamsburg City and James City County) is reported under the fiscal agent division only. Fairfax County, Greensville County and Williamsburg City are the fiscal agent divisions.</t>
    </r>
  </si>
  <si>
    <t xml:space="preserve">Bedford County </t>
  </si>
  <si>
    <r>
      <t>Item 2a:</t>
    </r>
    <r>
      <rPr>
        <sz val="10"/>
        <rFont val="Arial"/>
        <family val="2"/>
      </rPr>
      <t xml:space="preserve">  Excludes the following revenue source codes: 
Special Education Hospitals, Clinics and Detention Homes (240220)
State Sales Tax (240308 and 240312, which are included below)
Special Education  in Jails (240295)
Career/Technical Ed Adult - Regional Centers (240262)
Career/Technical Ed equip - Regional Centers (240270)
Career/Technical Ed Occupational Prep - Regional Centers (240282)
Also excludes expenditures reported as Inter-Agency Fund Transfer - Transfer to Regional Program (Function 67300 - Objects 9700, 9710, 9720, 9730, 9740).  This exclusion is based on these state funds being "passed-through" the fiscal agent's budget to a regional program.  This amount is also deducted from "Total Expenditures for Operations."
State revenues for Alternative Education and Academic Year Governor's Schools should be included in inter agency transfers to the regional program for fiscal agents and revenues should be added back to associated divisions according to their respective participation.  This ensures that the state revenue for these programs coincides with the ADM for purposes of calculating Per Pupil Amounts in Table 15.</t>
    </r>
  </si>
  <si>
    <r>
      <t>Item 2a:</t>
    </r>
    <r>
      <rPr>
        <sz val="10"/>
        <rFont val="Arial"/>
        <family val="2"/>
      </rPr>
      <t xml:space="preserve">  Excludes the following revenue source codes: 
Special Education Hospitals, Clinics and Detention Homes (240220)
State Sales Tax (240308 and 240312, which are included below)
Special Education  in Jails (240295)
Career/Technical Ed Adult - Regional Centers (240262)
Career/Technical Ed equip - Regional Centers (240270)
Career/Technical Ed Occupational Prep - Regional Centers (240282)
Also excludes expenditures reported as Inter-Agency Fund Transfer - Transfer to Regional Program (Function 67300 - Objects 9700, 9710, 9720, 9730, 9740).  This exclusion is based on these state funds being "passed-through" the fiscal agent's budget to a regional program.  This amount is also deducted from "Total Expenditures for Operations."
State revenues for Alternative Education and Academic Year Governor's Schools should be included in inter agency transfers to the regional program for fiscal agents and revenues should be added back to associated divisions according to their respective participation. This ensures that the state revenue for these programs coincides with the ADM for purposes of calculating Per Pupil Amounts in Table 15.</t>
    </r>
  </si>
  <si>
    <t>DABS Sales Tax fy 2019</t>
  </si>
  <si>
    <t>Sales Tax FY 2019</t>
  </si>
  <si>
    <t>End of Worksheet</t>
  </si>
  <si>
    <r>
      <t xml:space="preserve">Local </t>
    </r>
    <r>
      <rPr>
        <b/>
        <vertAlign val="superscript"/>
        <sz val="9"/>
        <rFont val="Arial"/>
        <family val="2"/>
      </rPr>
      <t>3</t>
    </r>
  </si>
  <si>
    <r>
      <t xml:space="preserve">And Use Tax </t>
    </r>
    <r>
      <rPr>
        <b/>
        <vertAlign val="superscript"/>
        <sz val="9"/>
        <rFont val="Arial"/>
        <family val="2"/>
      </rPr>
      <t>4</t>
    </r>
  </si>
  <si>
    <r>
      <t xml:space="preserve">1a.  Expenditures for operations:  </t>
    </r>
    <r>
      <rPr>
        <sz val="10"/>
        <rFont val="Arial"/>
        <family val="2"/>
      </rPr>
      <t>(see cell comment)</t>
    </r>
  </si>
  <si>
    <r>
      <t xml:space="preserve">2a.  Less State Revenues:  </t>
    </r>
    <r>
      <rPr>
        <sz val="10"/>
        <rFont val="Arial"/>
        <family val="2"/>
      </rPr>
      <t>(see cell comment)</t>
    </r>
  </si>
  <si>
    <r>
      <t xml:space="preserve">4a.  Less Federal Revenues:  </t>
    </r>
    <r>
      <rPr>
        <sz val="10"/>
        <rFont val="Arial"/>
        <family val="2"/>
      </rPr>
      <t>(see cell comment)</t>
    </r>
  </si>
  <si>
    <r>
      <t>Item 4a:</t>
    </r>
    <r>
      <rPr>
        <sz val="10"/>
        <rFont val="Arial"/>
        <family val="2"/>
      </rPr>
      <t xml:space="preserve">  As of FY 2012, includes all federal revenues, </t>
    </r>
    <r>
      <rPr>
        <b/>
        <u/>
        <sz val="10"/>
        <rFont val="Arial"/>
        <family val="2"/>
      </rPr>
      <t xml:space="preserve">including those for Pre-kindergarten: </t>
    </r>
    <r>
      <rPr>
        <sz val="10"/>
        <rFont val="Arial"/>
        <family val="2"/>
      </rPr>
      <t xml:space="preserve">
Head Start (93600)
Even Start (84213)
Title I (84010, 84013, 84357 and 84389) expenditures for Pre-K programs</t>
    </r>
  </si>
  <si>
    <r>
      <rPr>
        <b/>
        <sz val="14"/>
        <rFont val="Arial"/>
        <family val="2"/>
      </rPr>
      <t>TABLE 15 METHODOLOGY - FISCAL YEAR 2019 Estimate</t>
    </r>
    <r>
      <rPr>
        <sz val="12"/>
        <rFont val="Arial"/>
        <family val="2"/>
      </rPr>
      <t xml:space="preserve">
</t>
    </r>
    <r>
      <rPr>
        <b/>
        <sz val="12"/>
        <rFont val="Arial"/>
        <family val="2"/>
      </rPr>
      <t>Note: As of FY 2012, Table 15 contains Pre-kindergarten (Program 8) expenditures and average daily membership (ADM).</t>
    </r>
  </si>
  <si>
    <r>
      <t>Fairfax County/City</t>
    </r>
    <r>
      <rPr>
        <vertAlign val="superscript"/>
        <sz val="9"/>
        <rFont val="Arial"/>
        <family val="2"/>
      </rPr>
      <t>6</t>
    </r>
  </si>
  <si>
    <r>
      <t>Greensville/Emporia</t>
    </r>
    <r>
      <rPr>
        <vertAlign val="superscript"/>
        <sz val="9"/>
        <rFont val="Arial"/>
        <family val="2"/>
      </rPr>
      <t>6</t>
    </r>
  </si>
  <si>
    <r>
      <t>Williamsburg/James CIty</t>
    </r>
    <r>
      <rPr>
        <vertAlign val="superscript"/>
        <sz val="9"/>
        <rFont val="Arial"/>
        <family val="2"/>
      </rPr>
      <t>6</t>
    </r>
  </si>
  <si>
    <r>
      <t>State</t>
    </r>
    <r>
      <rPr>
        <b/>
        <vertAlign val="superscript"/>
        <sz val="9"/>
        <rFont val="Arial"/>
        <family val="2"/>
      </rPr>
      <t>7</t>
    </r>
  </si>
  <si>
    <t>Fiscal Year 2018</t>
  </si>
  <si>
    <r>
      <rPr>
        <b/>
        <sz val="14"/>
        <rFont val="Arial"/>
        <family val="2"/>
      </rPr>
      <t>TABLE 15 METHODOLOGY - FISCAL YEAR 2018</t>
    </r>
    <r>
      <rPr>
        <sz val="12"/>
        <rFont val="Arial"/>
        <family val="2"/>
      </rPr>
      <t xml:space="preserve">
</t>
    </r>
    <r>
      <rPr>
        <b/>
        <sz val="12"/>
        <rFont val="Arial"/>
        <family val="2"/>
      </rPr>
      <t>Note: As of FY 2012, Table 15 contains Pre-kindergarten (Program 8) expenditures and average daily membership (ADM).</t>
    </r>
  </si>
  <si>
    <t>(Click here for Chart of Accounts)</t>
  </si>
  <si>
    <t>Click here for Chart of Accounts</t>
  </si>
  <si>
    <r>
      <rPr>
        <b/>
        <sz val="14"/>
        <rFont val="Arial"/>
        <family val="2"/>
      </rPr>
      <t>TABLE 15 METHODOLOGY - FISCAL YEAR 2020 Estimate</t>
    </r>
    <r>
      <rPr>
        <sz val="12"/>
        <rFont val="Arial"/>
        <family val="2"/>
      </rPr>
      <t xml:space="preserve">
</t>
    </r>
    <r>
      <rPr>
        <b/>
        <sz val="12"/>
        <rFont val="Arial"/>
        <family val="2"/>
      </rPr>
      <t>Note: As of FY 2012, Table 15 contains Pre-kindergarten (Program 8) expenditures and average daily membership (ADM).</t>
    </r>
  </si>
  <si>
    <r>
      <t>8</t>
    </r>
    <r>
      <rPr>
        <sz val="10"/>
        <rFont val="Arial"/>
        <family val="2"/>
      </rPr>
      <t xml:space="preserve">  State revenues for regional Alternative Education programs and Academic Year Governor's Schools are allocated to divisions according to participation, rather than as paid to the fiscal agents for these programs.</t>
    </r>
  </si>
  <si>
    <t>Sales Tax FY 2020</t>
  </si>
  <si>
    <t>DABS Sales Tax fy 2020</t>
  </si>
  <si>
    <t>Data from 2017-2018 Table 15 source file with queries for Alt Ed &amp; Govs School</t>
  </si>
  <si>
    <t>Projections based on General Assembly\2019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</si>
</sst>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1" formatCode="_(* #,##0_);_(* \(#,##0\);_(* &quot;-&quot;_);_(@_)"/>
    <numFmt numFmtId="44" formatCode="_(&quot;$&quot;* #,##0.00_);_(&quot;$&quot;* \(#,##0.00\);_(&quot;$&quot;* &quot;-&quot;??_);_(@_)"/>
    <numFmt numFmtId="43" formatCode="_(* #,##0.00_);_(* \(#,##0.00\);_(* &quot;-&quot;??_);_(@_)"/>
    <numFmt numFmtId="164" formatCode="000"/>
    <numFmt numFmtId="165" formatCode="_(&quot;$&quot;* #,##0_);_(&quot;$&quot;* \(#,##0\);_(&quot;$&quot;* &quot;-&quot;??_);_(@_)"/>
    <numFmt numFmtId="166" formatCode="_(* #,##0_);_(* \(#,##0\);_(* &quot;-&quot;??_);_(@_)"/>
  </numFmts>
  <fonts count="6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2"/>
      <name val="Arial"/>
      <family val="2"/>
    </font>
    <font>
      <b/>
      <sz val="12"/>
      <name val="Arial"/>
      <family val="2"/>
    </font>
    <font>
      <b/>
      <sz val="10"/>
      <name val="Arial"/>
      <family val="2"/>
    </font>
    <font>
      <b/>
      <sz val="14"/>
      <name val="Arial"/>
      <family val="2"/>
    </font>
    <font>
      <b/>
      <sz val="10"/>
      <color indexed="12"/>
      <name val="Arial"/>
      <family val="2"/>
    </font>
    <font>
      <b/>
      <sz val="12"/>
      <color indexed="16"/>
      <name val="Arial"/>
      <family val="2"/>
    </font>
    <font>
      <u/>
      <sz val="10"/>
      <color indexed="12"/>
      <name val="Arial"/>
      <family val="2"/>
    </font>
    <font>
      <sz val="10"/>
      <name val="Arial"/>
      <family val="2"/>
    </font>
    <font>
      <b/>
      <vertAlign val="superscript"/>
      <sz val="9"/>
      <name val="Arial"/>
      <family val="2"/>
    </font>
    <font>
      <b/>
      <sz val="9"/>
      <name val="Arial"/>
      <family val="2"/>
    </font>
    <font>
      <sz val="9"/>
      <name val="Arial"/>
      <family val="2"/>
    </font>
    <font>
      <vertAlign val="superscript"/>
      <sz val="9"/>
      <name val="Arial"/>
      <family val="2"/>
    </font>
    <font>
      <sz val="9"/>
      <color indexed="9"/>
      <name val="Arial"/>
      <family val="2"/>
    </font>
    <font>
      <vertAlign val="superscript"/>
      <sz val="10"/>
      <name val="Arial"/>
      <family val="2"/>
    </font>
    <font>
      <b/>
      <sz val="16"/>
      <name val="Arial"/>
      <family val="2"/>
    </font>
    <font>
      <sz val="10"/>
      <color indexed="10"/>
      <name val="Arial"/>
      <family val="2"/>
    </font>
    <font>
      <b/>
      <sz val="9"/>
      <color indexed="10"/>
      <name val="Arial"/>
      <family val="2"/>
    </font>
    <font>
      <sz val="12"/>
      <color indexed="22"/>
      <name val="Arial"/>
      <family val="2"/>
    </font>
    <font>
      <sz val="10"/>
      <color indexed="22"/>
      <name val="Arial"/>
      <family val="2"/>
    </font>
    <font>
      <b/>
      <u/>
      <sz val="11"/>
      <color indexed="81"/>
      <name val="Tahoma"/>
      <family val="2"/>
    </font>
    <font>
      <b/>
      <sz val="11"/>
      <color indexed="81"/>
      <name val="Tahoma"/>
      <family val="2"/>
    </font>
    <font>
      <sz val="11"/>
      <color indexed="81"/>
      <name val="Tahoma"/>
      <family val="2"/>
    </font>
    <font>
      <sz val="8"/>
      <color indexed="81"/>
      <name val="Tahoma"/>
      <family val="2"/>
    </font>
    <font>
      <b/>
      <sz val="8"/>
      <color indexed="81"/>
      <name val="Tahoma"/>
      <family val="2"/>
    </font>
    <font>
      <sz val="12"/>
      <name val="Arial Narrow"/>
      <family val="2"/>
    </font>
    <font>
      <b/>
      <sz val="12"/>
      <name val="Arial Narrow"/>
      <family val="2"/>
    </font>
    <font>
      <sz val="11"/>
      <color indexed="16"/>
      <name val="Tahoma"/>
      <family val="2"/>
    </font>
    <font>
      <sz val="12"/>
      <color indexed="81"/>
      <name val="Tahoma"/>
      <family val="2"/>
    </font>
    <font>
      <b/>
      <u/>
      <sz val="11"/>
      <color indexed="12"/>
      <name val="Tahoma"/>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rgb="FFFF0000"/>
      <name val="Arial"/>
      <family val="2"/>
    </font>
    <font>
      <sz val="10"/>
      <color indexed="8"/>
      <name val="Arial"/>
      <family val="2"/>
    </font>
    <font>
      <b/>
      <sz val="14"/>
      <color rgb="FFFF0000"/>
      <name val="Arial"/>
      <family val="2"/>
    </font>
    <font>
      <sz val="8"/>
      <name val="Arial"/>
      <family val="2"/>
    </font>
    <font>
      <sz val="9"/>
      <color indexed="81"/>
      <name val="Tahoma"/>
      <family val="2"/>
    </font>
    <font>
      <b/>
      <sz val="9"/>
      <color indexed="81"/>
      <name val="Tahoma"/>
      <family val="2"/>
    </font>
    <font>
      <sz val="10"/>
      <color indexed="8"/>
      <name val="Calibri"/>
      <family val="2"/>
    </font>
    <font>
      <sz val="10"/>
      <color theme="1"/>
      <name val="Calibri"/>
      <family val="2"/>
      <scheme val="minor"/>
    </font>
    <font>
      <sz val="9"/>
      <color theme="0" tint="-0.249977111117893"/>
      <name val="Arial"/>
      <family val="2"/>
    </font>
    <font>
      <b/>
      <u/>
      <sz val="10"/>
      <name val="Arial"/>
      <family val="2"/>
    </font>
  </fonts>
  <fills count="47">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41"/>
        <bgColor indexed="64"/>
      </patternFill>
    </fill>
    <fill>
      <patternFill patternType="solid">
        <fgColor indexed="42"/>
        <bgColor indexed="64"/>
      </patternFill>
    </fill>
    <fill>
      <patternFill patternType="solid">
        <fgColor indexed="13"/>
        <bgColor indexed="64"/>
      </patternFill>
    </fill>
    <fill>
      <patternFill patternType="solid">
        <fgColor indexed="47"/>
        <bgColor indexed="64"/>
      </patternFill>
    </fill>
    <fill>
      <patternFill patternType="solid">
        <fgColor indexed="9"/>
        <bgColor indexed="64"/>
      </patternFill>
    </fill>
    <fill>
      <patternFill patternType="solid">
        <fgColor indexed="31"/>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FFFF00"/>
        <bgColor indexed="64"/>
      </patternFill>
    </fill>
    <fill>
      <patternFill patternType="solid">
        <fgColor theme="0"/>
        <bgColor indexed="64"/>
      </patternFill>
    </fill>
    <fill>
      <patternFill patternType="solid">
        <fgColor rgb="FFFFCC99"/>
        <bgColor indexed="64"/>
      </patternFill>
    </fill>
    <fill>
      <patternFill patternType="solid">
        <fgColor rgb="FFCCFFFF"/>
        <bgColor indexed="64"/>
      </patternFill>
    </fill>
    <fill>
      <patternFill patternType="solid">
        <fgColor rgb="FFCCFFCC"/>
        <bgColor indexed="64"/>
      </patternFill>
    </fill>
    <fill>
      <patternFill patternType="solid">
        <fgColor rgb="FFFFC00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right/>
      <top/>
      <bottom style="thin">
        <color indexed="64"/>
      </bottom>
      <diagonal/>
    </border>
    <border>
      <left/>
      <right/>
      <top style="medium">
        <color indexed="64"/>
      </top>
      <bottom/>
      <diagonal/>
    </border>
    <border>
      <left/>
      <right style="medium">
        <color indexed="64"/>
      </right>
      <top style="medium">
        <color indexed="64"/>
      </top>
      <bottom/>
      <diagonal/>
    </border>
    <border>
      <left/>
      <right style="thin">
        <color indexed="64"/>
      </right>
      <top/>
      <bottom/>
      <diagonal/>
    </border>
    <border>
      <left style="medium">
        <color indexed="64"/>
      </left>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left>
      <right style="thin">
        <color theme="0"/>
      </right>
      <top style="medium">
        <color indexed="64"/>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style="thin">
        <color theme="0"/>
      </right>
      <top style="medium">
        <color indexed="64"/>
      </top>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theme="0"/>
      </left>
      <right style="thin">
        <color theme="0"/>
      </right>
      <top/>
      <bottom/>
      <diagonal/>
    </border>
    <border>
      <left style="thin">
        <color theme="0"/>
      </left>
      <right/>
      <top/>
      <bottom/>
      <diagonal/>
    </border>
    <border>
      <left style="medium">
        <color indexed="64"/>
      </left>
      <right style="thin">
        <color theme="0"/>
      </right>
      <top style="medium">
        <color indexed="64"/>
      </top>
      <bottom/>
      <diagonal/>
    </border>
    <border>
      <left style="thin">
        <color theme="0"/>
      </left>
      <right style="medium">
        <color indexed="64"/>
      </right>
      <top style="medium">
        <color indexed="64"/>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bottom style="medium">
        <color indexed="64"/>
      </bottom>
      <diagonal/>
    </border>
    <border>
      <left style="thin">
        <color theme="0"/>
      </left>
      <right style="thin">
        <color theme="0"/>
      </right>
      <top/>
      <bottom style="medium">
        <color indexed="64"/>
      </bottom>
      <diagonal/>
    </border>
    <border>
      <left style="thin">
        <color theme="0"/>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diagonal/>
    </border>
    <border>
      <left style="thin">
        <color theme="0"/>
      </left>
      <right style="medium">
        <color indexed="64"/>
      </right>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bottom style="thin">
        <color theme="0"/>
      </bottom>
      <diagonal/>
    </border>
    <border>
      <left style="thin">
        <color theme="1"/>
      </left>
      <right style="thin">
        <color theme="1"/>
      </right>
      <top style="thin">
        <color theme="1"/>
      </top>
      <bottom style="thin">
        <color theme="1"/>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174">
    <xf numFmtId="0" fontId="0" fillId="0" borderId="0"/>
    <xf numFmtId="0" fontId="36" fillId="10" borderId="0" applyNumberFormat="0" applyBorder="0" applyAlignment="0" applyProtection="0"/>
    <xf numFmtId="0" fontId="36" fillId="11" borderId="0" applyNumberFormat="0" applyBorder="0" applyAlignment="0" applyProtection="0"/>
    <xf numFmtId="0" fontId="36" fillId="12"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9" borderId="0" applyNumberFormat="0" applyBorder="0" applyAlignment="0" applyProtection="0"/>
    <xf numFmtId="0" fontId="36" fillId="20" borderId="0" applyNumberFormat="0" applyBorder="0" applyAlignment="0" applyProtection="0"/>
    <xf numFmtId="0" fontId="36" fillId="21" borderId="0" applyNumberFormat="0" applyBorder="0" applyAlignment="0" applyProtection="0"/>
    <xf numFmtId="0" fontId="37" fillId="22" borderId="0" applyNumberFormat="0" applyBorder="0" applyAlignment="0" applyProtection="0"/>
    <xf numFmtId="0" fontId="37" fillId="23" borderId="0" applyNumberFormat="0" applyBorder="0" applyAlignment="0" applyProtection="0"/>
    <xf numFmtId="0" fontId="37" fillId="24" borderId="0" applyNumberFormat="0" applyBorder="0" applyAlignment="0" applyProtection="0"/>
    <xf numFmtId="0" fontId="37" fillId="25" borderId="0" applyNumberFormat="0" applyBorder="0" applyAlignment="0" applyProtection="0"/>
    <xf numFmtId="0" fontId="37" fillId="26" borderId="0" applyNumberFormat="0" applyBorder="0" applyAlignment="0" applyProtection="0"/>
    <xf numFmtId="0" fontId="37" fillId="27" borderId="0" applyNumberFormat="0" applyBorder="0" applyAlignment="0" applyProtection="0"/>
    <xf numFmtId="0" fontId="37" fillId="28" borderId="0" applyNumberFormat="0" applyBorder="0" applyAlignment="0" applyProtection="0"/>
    <xf numFmtId="0" fontId="37" fillId="29" borderId="0" applyNumberFormat="0" applyBorder="0" applyAlignment="0" applyProtection="0"/>
    <xf numFmtId="0" fontId="37" fillId="30" borderId="0" applyNumberFormat="0" applyBorder="0" applyAlignment="0" applyProtection="0"/>
    <xf numFmtId="0" fontId="37" fillId="31" borderId="0" applyNumberFormat="0" applyBorder="0" applyAlignment="0" applyProtection="0"/>
    <xf numFmtId="0" fontId="37" fillId="32" borderId="0" applyNumberFormat="0" applyBorder="0" applyAlignment="0" applyProtection="0"/>
    <xf numFmtId="0" fontId="37" fillId="33" borderId="0" applyNumberFormat="0" applyBorder="0" applyAlignment="0" applyProtection="0"/>
    <xf numFmtId="0" fontId="38" fillId="34" borderId="0" applyNumberFormat="0" applyBorder="0" applyAlignment="0" applyProtection="0"/>
    <xf numFmtId="0" fontId="39" fillId="35" borderId="38" applyNumberFormat="0" applyAlignment="0" applyProtection="0"/>
    <xf numFmtId="0" fontId="40" fillId="36" borderId="39" applyNumberFormat="0" applyAlignment="0" applyProtection="0"/>
    <xf numFmtId="43" fontId="6" fillId="0" borderId="0" applyFont="0" applyFill="0" applyBorder="0" applyAlignment="0" applyProtection="0"/>
    <xf numFmtId="44" fontId="6" fillId="0" borderId="0" applyFont="0" applyFill="0" applyBorder="0" applyAlignment="0" applyProtection="0"/>
    <xf numFmtId="0" fontId="41" fillId="0" borderId="0" applyNumberFormat="0" applyFill="0" applyBorder="0" applyAlignment="0" applyProtection="0"/>
    <xf numFmtId="0" fontId="42" fillId="37" borderId="0" applyNumberFormat="0" applyBorder="0" applyAlignment="0" applyProtection="0"/>
    <xf numFmtId="0" fontId="43" fillId="0" borderId="40" applyNumberFormat="0" applyFill="0" applyAlignment="0" applyProtection="0"/>
    <xf numFmtId="0" fontId="44" fillId="0" borderId="41" applyNumberFormat="0" applyFill="0" applyAlignment="0" applyProtection="0"/>
    <xf numFmtId="0" fontId="45" fillId="0" borderId="42" applyNumberFormat="0" applyFill="0" applyAlignment="0" applyProtection="0"/>
    <xf numFmtId="0" fontId="45" fillId="0" borderId="0" applyNumberFormat="0" applyFill="0" applyBorder="0" applyAlignment="0" applyProtection="0"/>
    <xf numFmtId="0" fontId="13" fillId="0" borderId="0" applyNumberFormat="0" applyFill="0" applyBorder="0" applyAlignment="0" applyProtection="0">
      <alignment vertical="top"/>
      <protection locked="0"/>
    </xf>
    <xf numFmtId="0" fontId="46" fillId="38" borderId="38" applyNumberFormat="0" applyAlignment="0" applyProtection="0"/>
    <xf numFmtId="0" fontId="47" fillId="0" borderId="43" applyNumberFormat="0" applyFill="0" applyAlignment="0" applyProtection="0"/>
    <xf numFmtId="0" fontId="48" fillId="39" borderId="0" applyNumberFormat="0" applyBorder="0" applyAlignment="0" applyProtection="0"/>
    <xf numFmtId="0" fontId="49" fillId="35" borderId="45" applyNumberFormat="0" applyAlignment="0" applyProtection="0"/>
    <xf numFmtId="0" fontId="50" fillId="0" borderId="0" applyNumberFormat="0" applyFill="0" applyBorder="0" applyAlignment="0" applyProtection="0"/>
    <xf numFmtId="0" fontId="51" fillId="0" borderId="46" applyNumberFormat="0" applyFill="0" applyAlignment="0" applyProtection="0"/>
    <xf numFmtId="0" fontId="52" fillId="0" borderId="0" applyNumberFormat="0" applyFill="0" applyBorder="0" applyAlignment="0" applyProtection="0"/>
    <xf numFmtId="0" fontId="36" fillId="0" borderId="0"/>
    <xf numFmtId="43" fontId="36" fillId="0" borderId="0" applyFont="0" applyFill="0" applyBorder="0" applyAlignment="0" applyProtection="0"/>
    <xf numFmtId="0" fontId="17" fillId="0" borderId="0"/>
    <xf numFmtId="43" fontId="17" fillId="0" borderId="0" applyFont="0" applyFill="0" applyBorder="0" applyAlignment="0" applyProtection="0"/>
    <xf numFmtId="0" fontId="36" fillId="40" borderId="44" applyNumberFormat="0" applyFont="0" applyAlignment="0" applyProtection="0"/>
    <xf numFmtId="0" fontId="7" fillId="0" borderId="0">
      <alignment wrapText="1"/>
    </xf>
    <xf numFmtId="43" fontId="14" fillId="0" borderId="0" applyFont="0" applyFill="0" applyBorder="0" applyAlignment="0" applyProtection="0"/>
    <xf numFmtId="44" fontId="14" fillId="0" borderId="0" applyFont="0" applyFill="0" applyBorder="0" applyAlignment="0" applyProtection="0"/>
    <xf numFmtId="0" fontId="7" fillId="0" borderId="0">
      <alignment wrapText="1"/>
    </xf>
    <xf numFmtId="9" fontId="14" fillId="0" borderId="0" applyFont="0" applyFill="0" applyBorder="0" applyAlignment="0" applyProtection="0"/>
    <xf numFmtId="0" fontId="54" fillId="0" borderId="0"/>
    <xf numFmtId="0" fontId="14" fillId="0" borderId="0"/>
    <xf numFmtId="0" fontId="14" fillId="0" borderId="0"/>
    <xf numFmtId="43" fontId="14" fillId="0" borderId="0" applyFont="0" applyFill="0" applyBorder="0" applyAlignment="0" applyProtection="0"/>
    <xf numFmtId="44" fontId="14" fillId="0" borderId="0" applyFont="0" applyFill="0" applyBorder="0" applyAlignment="0" applyProtection="0"/>
    <xf numFmtId="0" fontId="5" fillId="0" borderId="0"/>
    <xf numFmtId="43" fontId="5" fillId="0" borderId="0" applyFont="0" applyFill="0" applyBorder="0" applyAlignment="0" applyProtection="0"/>
    <xf numFmtId="44" fontId="5" fillId="0" borderId="0" applyFont="0" applyFill="0" applyBorder="0" applyAlignment="0" applyProtection="0"/>
    <xf numFmtId="0" fontId="5" fillId="40" borderId="44" applyNumberFormat="0" applyFont="0" applyAlignment="0" applyProtection="0"/>
    <xf numFmtId="0" fontId="5" fillId="10" borderId="0" applyNumberFormat="0" applyBorder="0" applyAlignment="0" applyProtection="0"/>
    <xf numFmtId="0" fontId="5" fillId="16" borderId="0" applyNumberFormat="0" applyBorder="0" applyAlignment="0" applyProtection="0"/>
    <xf numFmtId="0" fontId="5" fillId="11" borderId="0" applyNumberFormat="0" applyBorder="0" applyAlignment="0" applyProtection="0"/>
    <xf numFmtId="0" fontId="5" fillId="17" borderId="0" applyNumberFormat="0" applyBorder="0" applyAlignment="0" applyProtection="0"/>
    <xf numFmtId="0" fontId="5" fillId="12" borderId="0" applyNumberFormat="0" applyBorder="0" applyAlignment="0" applyProtection="0"/>
    <xf numFmtId="0" fontId="5" fillId="18" borderId="0" applyNumberFormat="0" applyBorder="0" applyAlignment="0" applyProtection="0"/>
    <xf numFmtId="0" fontId="5" fillId="13" borderId="0" applyNumberFormat="0" applyBorder="0" applyAlignment="0" applyProtection="0"/>
    <xf numFmtId="0" fontId="5" fillId="19" borderId="0" applyNumberFormat="0" applyBorder="0" applyAlignment="0" applyProtection="0"/>
    <xf numFmtId="0" fontId="5" fillId="14" borderId="0" applyNumberFormat="0" applyBorder="0" applyAlignment="0" applyProtection="0"/>
    <xf numFmtId="0" fontId="5" fillId="20" borderId="0" applyNumberFormat="0" applyBorder="0" applyAlignment="0" applyProtection="0"/>
    <xf numFmtId="0" fontId="5" fillId="15" borderId="0" applyNumberFormat="0" applyBorder="0" applyAlignment="0" applyProtection="0"/>
    <xf numFmtId="0" fontId="5" fillId="21" borderId="0" applyNumberFormat="0" applyBorder="0" applyAlignment="0" applyProtection="0"/>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0" fontId="4" fillId="40" borderId="44" applyNumberFormat="0" applyFont="0" applyAlignment="0" applyProtection="0"/>
    <xf numFmtId="0" fontId="4" fillId="10" borderId="0" applyNumberFormat="0" applyBorder="0" applyAlignment="0" applyProtection="0"/>
    <xf numFmtId="0" fontId="4" fillId="16" borderId="0" applyNumberFormat="0" applyBorder="0" applyAlignment="0" applyProtection="0"/>
    <xf numFmtId="0" fontId="4" fillId="11" borderId="0" applyNumberFormat="0" applyBorder="0" applyAlignment="0" applyProtection="0"/>
    <xf numFmtId="0" fontId="4" fillId="17" borderId="0" applyNumberFormat="0" applyBorder="0" applyAlignment="0" applyProtection="0"/>
    <xf numFmtId="0" fontId="4" fillId="12"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9" borderId="0" applyNumberFormat="0" applyBorder="0" applyAlignment="0" applyProtection="0"/>
    <xf numFmtId="0" fontId="4" fillId="14" borderId="0" applyNumberFormat="0" applyBorder="0" applyAlignment="0" applyProtection="0"/>
    <xf numFmtId="0" fontId="4" fillId="20" borderId="0" applyNumberFormat="0" applyBorder="0" applyAlignment="0" applyProtection="0"/>
    <xf numFmtId="0" fontId="4" fillId="15" borderId="0" applyNumberFormat="0" applyBorder="0" applyAlignment="0" applyProtection="0"/>
    <xf numFmtId="0" fontId="4" fillId="21" borderId="0" applyNumberFormat="0" applyBorder="0" applyAlignment="0" applyProtection="0"/>
    <xf numFmtId="0" fontId="3" fillId="0" borderId="0"/>
    <xf numFmtId="43" fontId="3" fillId="0" borderId="0" applyFont="0" applyFill="0" applyBorder="0" applyAlignment="0" applyProtection="0"/>
    <xf numFmtId="44" fontId="3" fillId="0" borderId="0" applyFont="0" applyFill="0" applyBorder="0" applyAlignment="0" applyProtection="0"/>
    <xf numFmtId="0" fontId="3" fillId="40" borderId="44" applyNumberFormat="0" applyFont="0" applyAlignment="0" applyProtection="0"/>
    <xf numFmtId="0" fontId="3" fillId="10" borderId="0" applyNumberFormat="0" applyBorder="0" applyAlignment="0" applyProtection="0"/>
    <xf numFmtId="0" fontId="3" fillId="16" borderId="0" applyNumberFormat="0" applyBorder="0" applyAlignment="0" applyProtection="0"/>
    <xf numFmtId="0" fontId="3" fillId="11" borderId="0" applyNumberFormat="0" applyBorder="0" applyAlignment="0" applyProtection="0"/>
    <xf numFmtId="0" fontId="3" fillId="17" borderId="0" applyNumberFormat="0" applyBorder="0" applyAlignment="0" applyProtection="0"/>
    <xf numFmtId="0" fontId="3" fillId="12"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20" borderId="0" applyNumberFormat="0" applyBorder="0" applyAlignment="0" applyProtection="0"/>
    <xf numFmtId="0" fontId="3" fillId="15" borderId="0" applyNumberFormat="0" applyBorder="0" applyAlignment="0" applyProtection="0"/>
    <xf numFmtId="0" fontId="3" fillId="21" borderId="0" applyNumberFormat="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40" borderId="44" applyNumberFormat="0" applyFont="0" applyAlignment="0" applyProtection="0"/>
    <xf numFmtId="0" fontId="2" fillId="10" borderId="0" applyNumberFormat="0" applyBorder="0" applyAlignment="0" applyProtection="0"/>
    <xf numFmtId="0" fontId="2" fillId="16" borderId="0" applyNumberFormat="0" applyBorder="0" applyAlignment="0" applyProtection="0"/>
    <xf numFmtId="0" fontId="2" fillId="11" borderId="0" applyNumberFormat="0" applyBorder="0" applyAlignment="0" applyProtection="0"/>
    <xf numFmtId="0" fontId="2" fillId="17" borderId="0" applyNumberFormat="0" applyBorder="0" applyAlignment="0" applyProtection="0"/>
    <xf numFmtId="0" fontId="2" fillId="12"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9" borderId="0" applyNumberFormat="0" applyBorder="0" applyAlignment="0" applyProtection="0"/>
    <xf numFmtId="0" fontId="2" fillId="14" borderId="0" applyNumberFormat="0" applyBorder="0" applyAlignment="0" applyProtection="0"/>
    <xf numFmtId="0" fontId="2" fillId="20" borderId="0" applyNumberFormat="0" applyBorder="0" applyAlignment="0" applyProtection="0"/>
    <xf numFmtId="0" fontId="2" fillId="15" borderId="0" applyNumberFormat="0" applyBorder="0" applyAlignment="0" applyProtection="0"/>
    <xf numFmtId="0" fontId="2" fillId="21" borderId="0" applyNumberFormat="0" applyBorder="0" applyAlignment="0" applyProtection="0"/>
    <xf numFmtId="0" fontId="6" fillId="0" borderId="0"/>
    <xf numFmtId="43" fontId="6" fillId="0" borderId="0" applyFont="0" applyFill="0" applyBorder="0" applyAlignment="0" applyProtection="0"/>
    <xf numFmtId="0" fontId="56" fillId="0" borderId="0"/>
    <xf numFmtId="43" fontId="56" fillId="0" borderId="0" applyFont="0" applyFill="0" applyBorder="0" applyAlignment="0" applyProtection="0"/>
    <xf numFmtId="43" fontId="6" fillId="0" borderId="0" applyFont="0" applyFill="0" applyBorder="0" applyAlignment="0" applyProtection="0"/>
    <xf numFmtId="44" fontId="56" fillId="0" borderId="0" applyFont="0" applyFill="0" applyBorder="0" applyAlignment="0" applyProtection="0"/>
    <xf numFmtId="43" fontId="56" fillId="0" borderId="0" applyFont="0" applyFill="0" applyBorder="0" applyAlignment="0" applyProtection="0"/>
    <xf numFmtId="0" fontId="56" fillId="0" borderId="0"/>
    <xf numFmtId="9" fontId="6" fillId="0" borderId="0" applyFont="0" applyFill="0" applyBorder="0" applyAlignment="0" applyProtection="0"/>
    <xf numFmtId="44" fontId="56"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xf numFmtId="9" fontId="7" fillId="0" borderId="0" applyFont="0" applyFill="0" applyBorder="0" applyAlignment="0" applyProtection="0"/>
    <xf numFmtId="0" fontId="6" fillId="0" borderId="0"/>
    <xf numFmtId="0" fontId="6" fillId="0" borderId="0"/>
    <xf numFmtId="0" fontId="6" fillId="0" borderId="0"/>
    <xf numFmtId="0" fontId="1" fillId="0" borderId="0"/>
    <xf numFmtId="0" fontId="1" fillId="0" borderId="0"/>
    <xf numFmtId="43" fontId="59" fillId="0" borderId="0" applyFont="0" applyFill="0" applyBorder="0" applyAlignment="0" applyProtection="0"/>
    <xf numFmtId="43" fontId="5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0" fontId="13" fillId="0" borderId="0" applyNumberFormat="0" applyFill="0" applyBorder="0" applyAlignment="0" applyProtection="0">
      <alignment vertical="top"/>
      <protection locked="0"/>
    </xf>
    <xf numFmtId="0" fontId="7" fillId="0" borderId="0">
      <alignment wrapText="1"/>
    </xf>
    <xf numFmtId="0" fontId="56" fillId="0" borderId="0"/>
    <xf numFmtId="0" fontId="60" fillId="0" borderId="0"/>
    <xf numFmtId="0" fontId="56" fillId="0" borderId="0"/>
    <xf numFmtId="0" fontId="7" fillId="0" borderId="0">
      <alignment wrapText="1"/>
    </xf>
    <xf numFmtId="0" fontId="7" fillId="0" borderId="0">
      <alignment wrapText="1"/>
    </xf>
    <xf numFmtId="0" fontId="7" fillId="0" borderId="0">
      <alignment wrapText="1"/>
    </xf>
    <xf numFmtId="0" fontId="7" fillId="0" borderId="0">
      <alignment wrapText="1"/>
    </xf>
    <xf numFmtId="0" fontId="7" fillId="0" borderId="0">
      <alignment wrapText="1"/>
    </xf>
    <xf numFmtId="0" fontId="7" fillId="0" borderId="0">
      <alignment wrapText="1"/>
    </xf>
    <xf numFmtId="0" fontId="1" fillId="0" borderId="0"/>
    <xf numFmtId="9" fontId="59"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cellStyleXfs>
  <cellXfs count="367">
    <xf numFmtId="0" fontId="0" fillId="0" borderId="0" xfId="0"/>
    <xf numFmtId="0" fontId="7" fillId="0" borderId="0" xfId="0" applyFont="1" applyProtection="1"/>
    <xf numFmtId="43" fontId="7" fillId="0" borderId="0" xfId="28" applyFont="1" applyProtection="1"/>
    <xf numFmtId="0" fontId="7" fillId="0" borderId="0" xfId="0" applyFont="1"/>
    <xf numFmtId="3" fontId="7" fillId="0" borderId="1" xfId="28" applyNumberFormat="1" applyFont="1" applyFill="1" applyBorder="1" applyProtection="1"/>
    <xf numFmtId="0" fontId="16" fillId="0" borderId="0" xfId="0" applyFont="1"/>
    <xf numFmtId="0" fontId="17" fillId="0" borderId="0" xfId="0" applyFont="1"/>
    <xf numFmtId="166" fontId="17" fillId="0" borderId="0" xfId="28" applyNumberFormat="1" applyFont="1"/>
    <xf numFmtId="166" fontId="17" fillId="0" borderId="0" xfId="28" applyNumberFormat="1" applyFont="1" applyBorder="1"/>
    <xf numFmtId="0" fontId="17" fillId="0" borderId="0" xfId="0" applyFont="1" applyAlignment="1">
      <alignment horizontal="center"/>
    </xf>
    <xf numFmtId="166" fontId="17" fillId="0" borderId="0" xfId="28" applyNumberFormat="1" applyFont="1" applyFill="1"/>
    <xf numFmtId="0" fontId="0" fillId="0" borderId="0" xfId="0" applyProtection="1"/>
    <xf numFmtId="3" fontId="7" fillId="2" borderId="1" xfId="28" applyNumberFormat="1" applyFont="1" applyFill="1" applyBorder="1" applyProtection="1">
      <protection locked="0"/>
    </xf>
    <xf numFmtId="0" fontId="17" fillId="3" borderId="0" xfId="0" applyFont="1" applyFill="1"/>
    <xf numFmtId="0" fontId="0" fillId="3" borderId="0" xfId="0" applyFill="1"/>
    <xf numFmtId="166" fontId="17" fillId="3" borderId="0" xfId="28" applyNumberFormat="1" applyFont="1" applyFill="1"/>
    <xf numFmtId="0" fontId="17" fillId="3" borderId="0" xfId="0" applyFont="1" applyFill="1" applyAlignment="1">
      <alignment horizontal="center"/>
    </xf>
    <xf numFmtId="0" fontId="7" fillId="3" borderId="0" xfId="0" applyFont="1" applyFill="1" applyProtection="1"/>
    <xf numFmtId="0" fontId="0" fillId="3" borderId="0" xfId="0" applyFill="1" applyProtection="1"/>
    <xf numFmtId="0" fontId="0" fillId="0" borderId="0" xfId="0" applyFill="1"/>
    <xf numFmtId="0" fontId="24" fillId="3" borderId="0" xfId="0" applyFont="1" applyFill="1" applyProtection="1"/>
    <xf numFmtId="166" fontId="24" fillId="3" borderId="0" xfId="28" applyNumberFormat="1" applyFont="1" applyFill="1" applyProtection="1"/>
    <xf numFmtId="0" fontId="24" fillId="3" borderId="0" xfId="0" applyFont="1" applyFill="1" applyAlignment="1" applyProtection="1">
      <alignment horizontal="center"/>
    </xf>
    <xf numFmtId="43" fontId="7" fillId="3" borderId="0" xfId="28" applyFont="1" applyFill="1" applyProtection="1"/>
    <xf numFmtId="0" fontId="7" fillId="0" borderId="0" xfId="0" applyFont="1" applyFill="1" applyProtection="1"/>
    <xf numFmtId="166" fontId="7" fillId="3" borderId="0" xfId="0" applyNumberFormat="1" applyFont="1" applyFill="1" applyProtection="1"/>
    <xf numFmtId="165" fontId="8" fillId="4" borderId="2" xfId="29" applyNumberFormat="1" applyFont="1" applyFill="1" applyBorder="1" applyProtection="1"/>
    <xf numFmtId="165" fontId="7" fillId="0" borderId="1" xfId="29" applyNumberFormat="1" applyFont="1" applyFill="1" applyBorder="1" applyProtection="1"/>
    <xf numFmtId="0" fontId="8" fillId="0" borderId="0" xfId="0" applyFont="1"/>
    <xf numFmtId="164" fontId="8" fillId="0" borderId="3" xfId="28" applyNumberFormat="1" applyFont="1" applyFill="1" applyBorder="1" applyAlignment="1" applyProtection="1">
      <alignment horizontal="center" vertical="center"/>
    </xf>
    <xf numFmtId="43" fontId="8" fillId="0" borderId="1" xfId="28" applyFont="1" applyFill="1" applyBorder="1" applyAlignment="1" applyProtection="1">
      <alignment horizontal="center" vertical="center"/>
    </xf>
    <xf numFmtId="165" fontId="8" fillId="5" borderId="2" xfId="29" applyNumberFormat="1" applyFont="1" applyFill="1" applyBorder="1" applyProtection="1"/>
    <xf numFmtId="165" fontId="7" fillId="2" borderId="1" xfId="29" applyNumberFormat="1" applyFont="1" applyFill="1" applyBorder="1" applyProtection="1">
      <protection locked="0"/>
    </xf>
    <xf numFmtId="164" fontId="7" fillId="0" borderId="4" xfId="0" applyNumberFormat="1" applyFont="1" applyFill="1" applyBorder="1" applyAlignment="1" applyProtection="1">
      <alignment horizontal="center"/>
    </xf>
    <xf numFmtId="0" fontId="7" fillId="0" borderId="0" xfId="0" applyFont="1" applyFill="1" applyBorder="1" applyAlignment="1" applyProtection="1"/>
    <xf numFmtId="166" fontId="7" fillId="0" borderId="0" xfId="28" applyNumberFormat="1" applyFont="1" applyFill="1" applyBorder="1" applyAlignment="1" applyProtection="1"/>
    <xf numFmtId="3" fontId="8" fillId="6" borderId="5" xfId="0" applyNumberFormat="1" applyFont="1" applyFill="1" applyBorder="1" applyAlignment="1" applyProtection="1">
      <alignment horizontal="center"/>
    </xf>
    <xf numFmtId="3" fontId="8" fillId="6" borderId="2" xfId="0" applyNumberFormat="1" applyFont="1" applyFill="1" applyBorder="1" applyAlignment="1" applyProtection="1">
      <alignment horizontal="center"/>
    </xf>
    <xf numFmtId="166" fontId="8" fillId="7" borderId="2" xfId="28" applyNumberFormat="1" applyFont="1" applyFill="1" applyBorder="1" applyAlignment="1" applyProtection="1">
      <alignment horizontal="center"/>
    </xf>
    <xf numFmtId="166" fontId="8" fillId="6" borderId="6" xfId="28" applyNumberFormat="1" applyFont="1" applyFill="1" applyBorder="1" applyAlignment="1" applyProtection="1">
      <alignment horizontal="center"/>
    </xf>
    <xf numFmtId="164" fontId="7" fillId="0" borderId="7" xfId="0" applyNumberFormat="1" applyFont="1" applyFill="1" applyBorder="1" applyAlignment="1" applyProtection="1">
      <alignment horizontal="center"/>
    </xf>
    <xf numFmtId="0" fontId="7" fillId="0" borderId="8" xfId="0" applyFont="1" applyFill="1" applyBorder="1" applyAlignment="1" applyProtection="1"/>
    <xf numFmtId="166" fontId="7" fillId="0" borderId="8" xfId="28" applyNumberFormat="1" applyFont="1" applyFill="1" applyBorder="1" applyAlignment="1" applyProtection="1"/>
    <xf numFmtId="0" fontId="7" fillId="3" borderId="0" xfId="0" applyFont="1" applyFill="1" applyAlignment="1" applyProtection="1"/>
    <xf numFmtId="0" fontId="12" fillId="3" borderId="0" xfId="0" applyFont="1" applyFill="1" applyAlignment="1" applyProtection="1"/>
    <xf numFmtId="0" fontId="9" fillId="0" borderId="0" xfId="0" applyFont="1" applyFill="1" applyBorder="1" applyAlignment="1">
      <alignment horizontal="center"/>
    </xf>
    <xf numFmtId="43" fontId="9" fillId="0" borderId="0" xfId="0" applyNumberFormat="1" applyFont="1" applyFill="1" applyBorder="1" applyAlignment="1">
      <alignment horizontal="center"/>
    </xf>
    <xf numFmtId="0" fontId="9" fillId="0" borderId="0" xfId="0" applyFont="1" applyFill="1" applyAlignment="1">
      <alignment horizontal="center"/>
    </xf>
    <xf numFmtId="43" fontId="9" fillId="0" borderId="0" xfId="28" applyFont="1" applyFill="1" applyAlignment="1">
      <alignment horizontal="center"/>
    </xf>
    <xf numFmtId="164" fontId="14" fillId="0" borderId="0" xfId="0" applyNumberFormat="1" applyFont="1" applyFill="1" applyBorder="1" applyAlignment="1">
      <alignment horizontal="center"/>
    </xf>
    <xf numFmtId="43" fontId="14" fillId="0" borderId="0" xfId="0" applyNumberFormat="1" applyFont="1" applyFill="1" applyBorder="1"/>
    <xf numFmtId="0" fontId="14" fillId="0" borderId="0" xfId="0" applyFont="1" applyFill="1"/>
    <xf numFmtId="43" fontId="14" fillId="0" borderId="0" xfId="28" applyFont="1" applyFill="1"/>
    <xf numFmtId="0" fontId="9" fillId="0" borderId="0" xfId="0" applyFont="1" applyFill="1"/>
    <xf numFmtId="164" fontId="9" fillId="0" borderId="0" xfId="0" applyNumberFormat="1" applyFont="1" applyFill="1" applyBorder="1" applyAlignment="1">
      <alignment horizontal="center"/>
    </xf>
    <xf numFmtId="43" fontId="9" fillId="0" borderId="0" xfId="0" applyNumberFormat="1" applyFont="1" applyFill="1" applyBorder="1"/>
    <xf numFmtId="43" fontId="9" fillId="0" borderId="0" xfId="28" applyFont="1" applyFill="1" applyBorder="1"/>
    <xf numFmtId="0" fontId="14" fillId="0" borderId="0" xfId="0" applyFont="1" applyFill="1" applyBorder="1"/>
    <xf numFmtId="164" fontId="14" fillId="0" borderId="0" xfId="0" applyNumberFormat="1" applyFont="1" applyFill="1" applyBorder="1"/>
    <xf numFmtId="0" fontId="11" fillId="6" borderId="2" xfId="0" applyFont="1" applyFill="1" applyBorder="1" applyAlignment="1">
      <alignment horizontal="center"/>
    </xf>
    <xf numFmtId="43" fontId="14" fillId="0" borderId="9" xfId="28" applyFont="1" applyFill="1" applyBorder="1" applyAlignment="1">
      <alignment horizontal="center"/>
    </xf>
    <xf numFmtId="43" fontId="14" fillId="0" borderId="10" xfId="28" applyFont="1" applyFill="1" applyBorder="1" applyAlignment="1">
      <alignment horizontal="center"/>
    </xf>
    <xf numFmtId="43" fontId="14" fillId="0" borderId="11" xfId="28" applyFont="1" applyFill="1" applyBorder="1" applyAlignment="1">
      <alignment horizontal="center"/>
    </xf>
    <xf numFmtId="43" fontId="0" fillId="0" borderId="0" xfId="0" applyNumberFormat="1"/>
    <xf numFmtId="43" fontId="9" fillId="0" borderId="0" xfId="0" applyNumberFormat="1" applyFont="1"/>
    <xf numFmtId="43" fontId="24" fillId="3" borderId="0" xfId="28" applyFont="1" applyFill="1" applyAlignment="1" applyProtection="1">
      <alignment horizontal="right"/>
    </xf>
    <xf numFmtId="43" fontId="25" fillId="3" borderId="0" xfId="28" applyFont="1" applyFill="1" applyAlignment="1" applyProtection="1">
      <alignment horizontal="right"/>
    </xf>
    <xf numFmtId="43" fontId="24" fillId="0" borderId="0" xfId="28" applyFont="1" applyFill="1" applyAlignment="1" applyProtection="1">
      <alignment horizontal="right"/>
    </xf>
    <xf numFmtId="0" fontId="7" fillId="3" borderId="0" xfId="0" applyFont="1" applyFill="1" applyAlignment="1" applyProtection="1">
      <alignment horizontal="center"/>
    </xf>
    <xf numFmtId="0" fontId="25" fillId="3" borderId="0" xfId="0" applyFont="1" applyFill="1" applyAlignment="1" applyProtection="1">
      <alignment horizontal="center"/>
    </xf>
    <xf numFmtId="0" fontId="24" fillId="0" borderId="0" xfId="0" applyFont="1" applyFill="1" applyAlignment="1" applyProtection="1">
      <alignment horizontal="center"/>
    </xf>
    <xf numFmtId="0" fontId="22" fillId="0" borderId="0" xfId="0" applyFont="1" applyFill="1" applyAlignment="1">
      <alignment horizontal="left"/>
    </xf>
    <xf numFmtId="43" fontId="7" fillId="0" borderId="0" xfId="28" applyNumberFormat="1" applyFont="1" applyFill="1" applyBorder="1" applyAlignment="1" applyProtection="1"/>
    <xf numFmtId="43" fontId="7" fillId="0" borderId="12" xfId="28" applyNumberFormat="1" applyFont="1" applyFill="1" applyBorder="1" applyAlignment="1" applyProtection="1"/>
    <xf numFmtId="43" fontId="7" fillId="0" borderId="8" xfId="28" applyNumberFormat="1" applyFont="1" applyFill="1" applyBorder="1" applyAlignment="1" applyProtection="1"/>
    <xf numFmtId="43" fontId="7" fillId="0" borderId="13" xfId="28" applyNumberFormat="1" applyFont="1" applyFill="1" applyBorder="1" applyAlignment="1" applyProtection="1"/>
    <xf numFmtId="164" fontId="0" fillId="0" borderId="0" xfId="0" applyNumberFormat="1" applyAlignment="1">
      <alignment horizontal="center"/>
    </xf>
    <xf numFmtId="43" fontId="24" fillId="3" borderId="0" xfId="28" applyFont="1" applyFill="1" applyAlignment="1" applyProtection="1">
      <alignment horizontal="right" vertical="center"/>
    </xf>
    <xf numFmtId="0" fontId="24" fillId="3" borderId="0" xfId="0" applyFont="1" applyFill="1" applyAlignment="1" applyProtection="1">
      <alignment horizontal="center" vertical="center"/>
    </xf>
    <xf numFmtId="0" fontId="7" fillId="3" borderId="0" xfId="0" applyFont="1" applyFill="1" applyAlignment="1" applyProtection="1">
      <alignment vertical="center"/>
    </xf>
    <xf numFmtId="166" fontId="7" fillId="0" borderId="0" xfId="28" applyNumberFormat="1" applyFont="1" applyFill="1" applyBorder="1" applyAlignment="1" applyProtection="1">
      <alignment vertical="center"/>
    </xf>
    <xf numFmtId="43" fontId="7" fillId="0" borderId="0" xfId="28" applyNumberFormat="1" applyFont="1" applyFill="1" applyBorder="1" applyAlignment="1" applyProtection="1">
      <alignment vertical="center"/>
    </xf>
    <xf numFmtId="43" fontId="7" fillId="0" borderId="12" xfId="28" applyNumberFormat="1" applyFont="1" applyFill="1" applyBorder="1" applyAlignment="1" applyProtection="1">
      <alignment vertical="center"/>
    </xf>
    <xf numFmtId="0" fontId="7" fillId="0" borderId="0" xfId="0" applyFont="1" applyAlignment="1" applyProtection="1">
      <alignment vertical="center"/>
    </xf>
    <xf numFmtId="166" fontId="17" fillId="0" borderId="0" xfId="28" applyNumberFormat="1" applyFont="1" applyFill="1" applyBorder="1"/>
    <xf numFmtId="3" fontId="9" fillId="0" borderId="0" xfId="0" applyNumberFormat="1" applyFont="1" applyAlignment="1"/>
    <xf numFmtId="3" fontId="14" fillId="0" borderId="9" xfId="0" applyNumberFormat="1" applyFont="1" applyBorder="1" applyAlignment="1"/>
    <xf numFmtId="3" fontId="14" fillId="0" borderId="10" xfId="0" applyNumberFormat="1" applyFont="1" applyBorder="1" applyAlignment="1"/>
    <xf numFmtId="43" fontId="0" fillId="0" borderId="0" xfId="0" applyNumberFormat="1" applyFill="1"/>
    <xf numFmtId="3" fontId="0" fillId="0" borderId="0" xfId="0" applyNumberFormat="1" applyFill="1"/>
    <xf numFmtId="0" fontId="16" fillId="3" borderId="0" xfId="0" applyFont="1" applyFill="1"/>
    <xf numFmtId="3" fontId="14" fillId="0" borderId="0" xfId="0" applyNumberFormat="1" applyFont="1" applyFill="1"/>
    <xf numFmtId="0" fontId="0" fillId="0" borderId="0" xfId="0" applyFill="1" applyProtection="1"/>
    <xf numFmtId="0" fontId="17" fillId="0" borderId="0" xfId="0" applyFont="1" applyBorder="1"/>
    <xf numFmtId="0" fontId="17" fillId="0" borderId="0" xfId="0" applyFont="1" applyFill="1"/>
    <xf numFmtId="41" fontId="14" fillId="0" borderId="0" xfId="0" applyNumberFormat="1" applyFont="1" applyFill="1"/>
    <xf numFmtId="43" fontId="7" fillId="3" borderId="0" xfId="0" applyNumberFormat="1" applyFont="1" applyFill="1" applyProtection="1"/>
    <xf numFmtId="0" fontId="14" fillId="6" borderId="0" xfId="0" applyFont="1" applyFill="1"/>
    <xf numFmtId="0" fontId="14" fillId="9" borderId="0" xfId="0" applyFont="1" applyFill="1"/>
    <xf numFmtId="164" fontId="17" fillId="3" borderId="0" xfId="0" applyNumberFormat="1" applyFont="1" applyFill="1"/>
    <xf numFmtId="43" fontId="7" fillId="0" borderId="47" xfId="28" applyFont="1" applyBorder="1" applyProtection="1"/>
    <xf numFmtId="43" fontId="7" fillId="0" borderId="48" xfId="28" applyFont="1" applyBorder="1" applyProtection="1"/>
    <xf numFmtId="43" fontId="7" fillId="0" borderId="49" xfId="28" applyFont="1" applyBorder="1" applyProtection="1"/>
    <xf numFmtId="43" fontId="7" fillId="0" borderId="50" xfId="28" applyFont="1" applyBorder="1" applyProtection="1"/>
    <xf numFmtId="164" fontId="8" fillId="0" borderId="50" xfId="28" applyNumberFormat="1" applyFont="1" applyFill="1" applyBorder="1" applyAlignment="1" applyProtection="1">
      <alignment horizontal="center"/>
    </xf>
    <xf numFmtId="43" fontId="7" fillId="0" borderId="51" xfId="28" applyFont="1" applyBorder="1" applyProtection="1"/>
    <xf numFmtId="43" fontId="8" fillId="0" borderId="1" xfId="28" applyFont="1" applyBorder="1" applyAlignment="1" applyProtection="1">
      <alignment horizontal="center"/>
    </xf>
    <xf numFmtId="43" fontId="7" fillId="0" borderId="52" xfId="28" applyFont="1" applyBorder="1" applyProtection="1"/>
    <xf numFmtId="43" fontId="7" fillId="0" borderId="53" xfId="28" applyFont="1" applyBorder="1" applyProtection="1"/>
    <xf numFmtId="0" fontId="7" fillId="0" borderId="48" xfId="28" applyNumberFormat="1" applyFont="1" applyBorder="1" applyAlignment="1" applyProtection="1">
      <alignment horizontal="left" indent="5"/>
    </xf>
    <xf numFmtId="0" fontId="7" fillId="0" borderId="53" xfId="28" applyNumberFormat="1" applyFont="1" applyBorder="1" applyAlignment="1" applyProtection="1">
      <alignment horizontal="left" indent="2"/>
    </xf>
    <xf numFmtId="0" fontId="7" fillId="0" borderId="48" xfId="28" applyNumberFormat="1" applyFont="1" applyBorder="1" applyAlignment="1" applyProtection="1">
      <alignment horizontal="center"/>
    </xf>
    <xf numFmtId="43" fontId="8" fillId="0" borderId="48" xfId="28" applyFont="1" applyBorder="1" applyProtection="1"/>
    <xf numFmtId="43" fontId="7" fillId="0" borderId="53" xfId="28" applyFont="1" applyFill="1" applyBorder="1" applyProtection="1"/>
    <xf numFmtId="43" fontId="7" fillId="0" borderId="48" xfId="28" applyFont="1" applyFill="1" applyBorder="1" applyProtection="1"/>
    <xf numFmtId="0" fontId="7" fillId="0" borderId="54" xfId="0" applyFont="1" applyBorder="1" applyAlignment="1">
      <alignment horizontal="right" wrapText="1" readingOrder="1"/>
    </xf>
    <xf numFmtId="0" fontId="7" fillId="0" borderId="54" xfId="28" applyNumberFormat="1" applyFont="1" applyBorder="1" applyAlignment="1" applyProtection="1">
      <alignment horizontal="left"/>
    </xf>
    <xf numFmtId="0" fontId="7" fillId="0" borderId="48" xfId="28" applyNumberFormat="1" applyFont="1" applyBorder="1" applyAlignment="1" applyProtection="1">
      <alignment horizontal="left" indent="2"/>
    </xf>
    <xf numFmtId="43" fontId="7" fillId="0" borderId="48" xfId="28" applyFont="1" applyBorder="1" applyAlignment="1" applyProtection="1">
      <alignment vertical="center"/>
    </xf>
    <xf numFmtId="43" fontId="7" fillId="0" borderId="55" xfId="28" applyFont="1" applyBorder="1" applyAlignment="1" applyProtection="1">
      <alignment vertical="center"/>
    </xf>
    <xf numFmtId="43" fontId="7" fillId="0" borderId="55" xfId="28" applyFont="1" applyBorder="1" applyProtection="1"/>
    <xf numFmtId="43" fontId="7" fillId="0" borderId="52" xfId="28" applyFont="1" applyFill="1" applyBorder="1" applyProtection="1"/>
    <xf numFmtId="43" fontId="7" fillId="0" borderId="49" xfId="28" applyFont="1" applyFill="1" applyBorder="1" applyProtection="1"/>
    <xf numFmtId="43" fontId="7" fillId="0" borderId="56" xfId="28" applyFont="1" applyFill="1" applyBorder="1" applyProtection="1"/>
    <xf numFmtId="43" fontId="7" fillId="0" borderId="55" xfId="28" applyFont="1" applyFill="1" applyBorder="1" applyProtection="1"/>
    <xf numFmtId="166" fontId="7" fillId="0" borderId="15" xfId="28" applyNumberFormat="1" applyFont="1" applyFill="1" applyBorder="1" applyAlignment="1" applyProtection="1">
      <alignment vertical="center"/>
    </xf>
    <xf numFmtId="43" fontId="7" fillId="0" borderId="15" xfId="28" applyNumberFormat="1" applyFont="1" applyFill="1" applyBorder="1" applyAlignment="1" applyProtection="1">
      <alignment vertical="center"/>
    </xf>
    <xf numFmtId="43" fontId="7" fillId="0" borderId="16" xfId="28" applyNumberFormat="1" applyFont="1" applyFill="1" applyBorder="1" applyAlignment="1" applyProtection="1">
      <alignment vertical="center"/>
    </xf>
    <xf numFmtId="43" fontId="7" fillId="0" borderId="57" xfId="28" applyFont="1" applyBorder="1" applyProtection="1"/>
    <xf numFmtId="43" fontId="7" fillId="0" borderId="58" xfId="28" applyFont="1" applyBorder="1" applyAlignment="1" applyProtection="1">
      <alignment horizontal="right"/>
    </xf>
    <xf numFmtId="43" fontId="8" fillId="0" borderId="3" xfId="28" applyFont="1" applyBorder="1" applyProtection="1"/>
    <xf numFmtId="43" fontId="7" fillId="0" borderId="59" xfId="28" applyFont="1" applyBorder="1" applyProtection="1"/>
    <xf numFmtId="164" fontId="8" fillId="0" borderId="60" xfId="28" applyNumberFormat="1" applyFont="1" applyFill="1" applyBorder="1" applyAlignment="1" applyProtection="1">
      <alignment horizontal="center" vertical="center"/>
    </xf>
    <xf numFmtId="43" fontId="8" fillId="0" borderId="61" xfId="28" applyFont="1" applyFill="1" applyBorder="1" applyAlignment="1" applyProtection="1">
      <alignment horizontal="center" vertical="center"/>
    </xf>
    <xf numFmtId="164" fontId="8" fillId="0" borderId="62" xfId="28" applyNumberFormat="1" applyFont="1" applyFill="1" applyBorder="1" applyAlignment="1" applyProtection="1">
      <alignment horizontal="center"/>
    </xf>
    <xf numFmtId="43" fontId="7" fillId="0" borderId="62" xfId="28" applyFont="1" applyBorder="1" applyProtection="1"/>
    <xf numFmtId="43" fontId="7" fillId="0" borderId="63" xfId="28" applyFont="1" applyBorder="1" applyProtection="1"/>
    <xf numFmtId="43" fontId="7" fillId="0" borderId="64" xfId="28" applyFont="1" applyBorder="1" applyProtection="1"/>
    <xf numFmtId="43" fontId="7" fillId="0" borderId="58" xfId="28" applyFont="1" applyFill="1" applyBorder="1" applyProtection="1"/>
    <xf numFmtId="43" fontId="7" fillId="0" borderId="59" xfId="28" applyFont="1" applyFill="1" applyBorder="1" applyProtection="1"/>
    <xf numFmtId="43" fontId="7" fillId="0" borderId="59" xfId="28" applyFont="1" applyFill="1" applyBorder="1" applyAlignment="1" applyProtection="1">
      <alignment vertical="center"/>
    </xf>
    <xf numFmtId="0" fontId="7" fillId="0" borderId="65" xfId="28" applyNumberFormat="1" applyFont="1" applyBorder="1" applyAlignment="1" applyProtection="1">
      <alignment horizontal="left" indent="5"/>
    </xf>
    <xf numFmtId="0" fontId="7" fillId="0" borderId="65" xfId="28" applyNumberFormat="1" applyFont="1" applyBorder="1" applyAlignment="1" applyProtection="1">
      <alignment horizontal="center"/>
    </xf>
    <xf numFmtId="43" fontId="7" fillId="0" borderId="66" xfId="28" applyFont="1" applyFill="1" applyBorder="1" applyProtection="1"/>
    <xf numFmtId="0" fontId="7" fillId="0" borderId="65" xfId="28" applyNumberFormat="1" applyFont="1" applyBorder="1" applyAlignment="1" applyProtection="1">
      <alignment horizontal="left" indent="2"/>
    </xf>
    <xf numFmtId="165" fontId="8" fillId="7" borderId="2" xfId="29" applyNumberFormat="1" applyFont="1" applyFill="1" applyBorder="1" applyProtection="1"/>
    <xf numFmtId="43" fontId="7" fillId="0" borderId="65" xfId="28" applyFont="1" applyBorder="1" applyProtection="1"/>
    <xf numFmtId="43" fontId="7" fillId="0" borderId="67" xfId="28" applyFont="1" applyFill="1" applyBorder="1" applyProtection="1"/>
    <xf numFmtId="43" fontId="7" fillId="0" borderId="59" xfId="0" applyNumberFormat="1" applyFont="1" applyBorder="1" applyProtection="1"/>
    <xf numFmtId="0" fontId="7" fillId="0" borderId="59" xfId="0" applyFont="1" applyBorder="1" applyProtection="1"/>
    <xf numFmtId="43" fontId="7" fillId="0" borderId="65" xfId="28" applyFont="1" applyBorder="1" applyAlignment="1" applyProtection="1">
      <alignment horizontal="left" indent="3"/>
    </xf>
    <xf numFmtId="0" fontId="7" fillId="0" borderId="65" xfId="28" applyNumberFormat="1" applyFont="1" applyBorder="1" applyAlignment="1" applyProtection="1">
      <alignment horizontal="left" vertical="top" indent="5"/>
    </xf>
    <xf numFmtId="0" fontId="8" fillId="0" borderId="65" xfId="28" applyNumberFormat="1" applyFont="1" applyBorder="1" applyAlignment="1" applyProtection="1">
      <alignment horizontal="left" indent="2"/>
    </xf>
    <xf numFmtId="43" fontId="7" fillId="0" borderId="67" xfId="28" applyFont="1" applyBorder="1" applyProtection="1"/>
    <xf numFmtId="43" fontId="7" fillId="0" borderId="66" xfId="28" applyFont="1" applyBorder="1" applyProtection="1"/>
    <xf numFmtId="43" fontId="7" fillId="0" borderId="69" xfId="28" applyFont="1" applyBorder="1" applyProtection="1"/>
    <xf numFmtId="0" fontId="7" fillId="0" borderId="52" xfId="28" applyNumberFormat="1" applyFont="1" applyBorder="1" applyAlignment="1" applyProtection="1">
      <alignment horizontal="left" indent="2"/>
    </xf>
    <xf numFmtId="0" fontId="7" fillId="0" borderId="48" xfId="0" applyFont="1" applyBorder="1" applyAlignment="1">
      <alignment horizontal="right" wrapText="1" readingOrder="1"/>
    </xf>
    <xf numFmtId="0" fontId="7" fillId="0" borderId="53" xfId="0" applyFont="1" applyBorder="1" applyAlignment="1">
      <alignment horizontal="right" wrapText="1" readingOrder="1"/>
    </xf>
    <xf numFmtId="0" fontId="7" fillId="0" borderId="53" xfId="28" applyNumberFormat="1" applyFont="1" applyBorder="1" applyAlignment="1" applyProtection="1">
      <alignment horizontal="left"/>
    </xf>
    <xf numFmtId="3" fontId="7" fillId="0" borderId="70" xfId="28" applyNumberFormat="1" applyFont="1" applyFill="1" applyBorder="1" applyProtection="1"/>
    <xf numFmtId="165" fontId="7" fillId="0" borderId="70" xfId="29" applyNumberFormat="1" applyFont="1" applyFill="1" applyBorder="1" applyProtection="1"/>
    <xf numFmtId="43" fontId="7" fillId="0" borderId="60" xfId="28" applyFont="1" applyBorder="1" applyProtection="1"/>
    <xf numFmtId="43" fontId="7" fillId="0" borderId="61" xfId="28" applyFont="1" applyBorder="1" applyProtection="1"/>
    <xf numFmtId="0" fontId="23" fillId="0" borderId="0" xfId="0" applyFont="1" applyBorder="1" applyAlignment="1">
      <alignment horizontal="left"/>
    </xf>
    <xf numFmtId="0" fontId="16" fillId="0" borderId="8" xfId="0" applyFont="1" applyBorder="1"/>
    <xf numFmtId="0" fontId="17" fillId="0" borderId="18" xfId="0" applyFont="1" applyBorder="1" applyAlignment="1">
      <alignment horizontal="center"/>
    </xf>
    <xf numFmtId="0" fontId="17" fillId="0" borderId="15" xfId="0" applyFont="1" applyBorder="1"/>
    <xf numFmtId="166" fontId="17" fillId="0" borderId="15" xfId="28" applyNumberFormat="1" applyFont="1" applyFill="1" applyBorder="1" applyAlignment="1">
      <alignment horizontal="center"/>
    </xf>
    <xf numFmtId="166" fontId="17" fillId="0" borderId="16" xfId="28" applyNumberFormat="1" applyFont="1" applyBorder="1" applyAlignment="1">
      <alignment horizontal="center"/>
    </xf>
    <xf numFmtId="0" fontId="17" fillId="0" borderId="4" xfId="0" applyFont="1" applyBorder="1" applyAlignment="1">
      <alignment horizontal="center"/>
    </xf>
    <xf numFmtId="166" fontId="17" fillId="0" borderId="0" xfId="28" applyNumberFormat="1" applyFont="1" applyBorder="1" applyAlignment="1">
      <alignment horizontal="center"/>
    </xf>
    <xf numFmtId="0" fontId="16" fillId="0" borderId="0" xfId="0" applyFont="1" applyFill="1" applyBorder="1"/>
    <xf numFmtId="0" fontId="16" fillId="0" borderId="0" xfId="0" applyFont="1" applyBorder="1"/>
    <xf numFmtId="166" fontId="16" fillId="0" borderId="0" xfId="28" applyNumberFormat="1" applyFont="1" applyBorder="1"/>
    <xf numFmtId="166" fontId="16" fillId="0" borderId="0" xfId="28" applyNumberFormat="1" applyFont="1" applyBorder="1" applyAlignment="1">
      <alignment horizontal="center"/>
    </xf>
    <xf numFmtId="166" fontId="16" fillId="0" borderId="12" xfId="28" applyNumberFormat="1" applyFont="1" applyBorder="1" applyAlignment="1">
      <alignment horizontal="center"/>
    </xf>
    <xf numFmtId="166" fontId="17" fillId="0" borderId="21" xfId="28" applyNumberFormat="1" applyFont="1" applyFill="1" applyBorder="1" applyAlignment="1">
      <alignment horizontal="center"/>
    </xf>
    <xf numFmtId="166" fontId="17" fillId="0" borderId="22" xfId="28" applyNumberFormat="1" applyFont="1" applyBorder="1" applyAlignment="1">
      <alignment horizontal="center"/>
    </xf>
    <xf numFmtId="166" fontId="17" fillId="0" borderId="21" xfId="28" applyNumberFormat="1" applyFont="1" applyBorder="1" applyAlignment="1">
      <alignment horizontal="center"/>
    </xf>
    <xf numFmtId="166" fontId="17" fillId="0" borderId="23" xfId="28" applyNumberFormat="1" applyFont="1" applyBorder="1" applyAlignment="1">
      <alignment horizontal="center"/>
    </xf>
    <xf numFmtId="0" fontId="53" fillId="0" borderId="0" xfId="0" applyFont="1"/>
    <xf numFmtId="0" fontId="53" fillId="0" borderId="0" xfId="0" applyFont="1" applyFill="1" applyAlignment="1">
      <alignment horizontal="left"/>
    </xf>
    <xf numFmtId="166" fontId="0" fillId="3" borderId="0" xfId="0" applyNumberFormat="1" applyFill="1"/>
    <xf numFmtId="166" fontId="17" fillId="0" borderId="0" xfId="45" applyNumberFormat="1" applyFont="1" applyFill="1" applyBorder="1"/>
    <xf numFmtId="0" fontId="17" fillId="0" borderId="4" xfId="44" applyFont="1" applyBorder="1" applyAlignment="1">
      <alignment horizontal="center"/>
    </xf>
    <xf numFmtId="0" fontId="17" fillId="0" borderId="0" xfId="44" applyFont="1" applyBorder="1"/>
    <xf numFmtId="43" fontId="17" fillId="0" borderId="0" xfId="45" applyNumberFormat="1" applyFont="1" applyBorder="1"/>
    <xf numFmtId="166" fontId="17" fillId="0" borderId="12" xfId="45" applyNumberFormat="1" applyFont="1" applyBorder="1"/>
    <xf numFmtId="164" fontId="17" fillId="0" borderId="4" xfId="44" applyNumberFormat="1" applyFont="1" applyBorder="1" applyAlignment="1">
      <alignment horizontal="center"/>
    </xf>
    <xf numFmtId="164" fontId="17" fillId="0" borderId="4" xfId="44" applyNumberFormat="1" applyFont="1" applyFill="1" applyBorder="1" applyAlignment="1">
      <alignment horizontal="center"/>
    </xf>
    <xf numFmtId="0" fontId="17" fillId="0" borderId="0" xfId="44" applyFont="1" applyFill="1" applyBorder="1"/>
    <xf numFmtId="166" fontId="17" fillId="0" borderId="12" xfId="45" applyNumberFormat="1" applyFont="1" applyFill="1" applyBorder="1"/>
    <xf numFmtId="0" fontId="17" fillId="0" borderId="24" xfId="44" applyFont="1" applyBorder="1" applyAlignment="1">
      <alignment horizontal="center"/>
    </xf>
    <xf numFmtId="0" fontId="16" fillId="0" borderId="14" xfId="44" applyFont="1" applyBorder="1"/>
    <xf numFmtId="43" fontId="16" fillId="0" borderId="14" xfId="45" applyNumberFormat="1" applyFont="1" applyBorder="1"/>
    <xf numFmtId="0" fontId="16" fillId="0" borderId="25" xfId="44" applyFont="1" applyBorder="1" applyAlignment="1">
      <alignment horizontal="center"/>
    </xf>
    <xf numFmtId="0" fontId="16" fillId="0" borderId="26" xfId="44" applyFont="1" applyBorder="1"/>
    <xf numFmtId="4" fontId="36" fillId="0" borderId="0" xfId="44" applyNumberFormat="1" applyBorder="1"/>
    <xf numFmtId="166" fontId="16" fillId="0" borderId="26" xfId="45" applyNumberFormat="1" applyFont="1" applyBorder="1"/>
    <xf numFmtId="166" fontId="16" fillId="0" borderId="27" xfId="45" applyNumberFormat="1" applyFont="1" applyBorder="1"/>
    <xf numFmtId="166" fontId="17" fillId="0" borderId="0" xfId="45" applyNumberFormat="1" applyFont="1" applyBorder="1"/>
    <xf numFmtId="166" fontId="16" fillId="0" borderId="14" xfId="45" applyNumberFormat="1" applyFont="1" applyBorder="1"/>
    <xf numFmtId="43" fontId="6" fillId="0" borderId="0" xfId="0" applyNumberFormat="1" applyFont="1" applyFill="1" applyBorder="1"/>
    <xf numFmtId="0" fontId="6" fillId="0" borderId="0" xfId="0" applyFont="1" applyFill="1"/>
    <xf numFmtId="43" fontId="6" fillId="0" borderId="0" xfId="0" applyNumberFormat="1" applyFont="1" applyFill="1"/>
    <xf numFmtId="43" fontId="6" fillId="0" borderId="0" xfId="28" applyFont="1" applyFill="1"/>
    <xf numFmtId="2" fontId="6" fillId="0" borderId="0" xfId="0" applyNumberFormat="1" applyFont="1" applyFill="1"/>
    <xf numFmtId="43" fontId="6" fillId="9" borderId="0" xfId="0" applyNumberFormat="1" applyFont="1" applyFill="1" applyBorder="1"/>
    <xf numFmtId="2" fontId="6" fillId="9" borderId="0" xfId="0" applyNumberFormat="1" applyFont="1" applyFill="1"/>
    <xf numFmtId="164" fontId="6" fillId="9" borderId="0" xfId="0" applyNumberFormat="1" applyFont="1" applyFill="1"/>
    <xf numFmtId="43" fontId="6" fillId="9" borderId="0" xfId="0" applyNumberFormat="1" applyFont="1" applyFill="1"/>
    <xf numFmtId="43" fontId="6" fillId="9" borderId="0" xfId="28" applyFont="1" applyFill="1"/>
    <xf numFmtId="0" fontId="6" fillId="2" borderId="0" xfId="0" applyFont="1" applyFill="1"/>
    <xf numFmtId="43" fontId="6" fillId="2" borderId="0" xfId="0" applyNumberFormat="1" applyFont="1" applyFill="1"/>
    <xf numFmtId="43" fontId="6" fillId="2" borderId="0" xfId="28" applyFont="1" applyFill="1"/>
    <xf numFmtId="2" fontId="6" fillId="2" borderId="0" xfId="0" applyNumberFormat="1" applyFont="1" applyFill="1"/>
    <xf numFmtId="43" fontId="53" fillId="0" borderId="0" xfId="0" applyNumberFormat="1" applyFont="1" applyFill="1" applyBorder="1"/>
    <xf numFmtId="0" fontId="53" fillId="0" borderId="0" xfId="0" applyFont="1" applyFill="1" applyBorder="1"/>
    <xf numFmtId="3" fontId="14" fillId="0" borderId="11" xfId="0" applyNumberFormat="1" applyFont="1" applyBorder="1" applyAlignment="1"/>
    <xf numFmtId="0" fontId="17" fillId="0" borderId="0" xfId="0" applyFont="1" applyFill="1" applyBorder="1"/>
    <xf numFmtId="0" fontId="6" fillId="0" borderId="0" xfId="0" applyFont="1"/>
    <xf numFmtId="166" fontId="17" fillId="0" borderId="15" xfId="28" applyNumberFormat="1" applyFont="1" applyBorder="1" applyAlignment="1">
      <alignment horizontal="center"/>
    </xf>
    <xf numFmtId="166" fontId="16" fillId="0" borderId="71" xfId="45" applyNumberFormat="1" applyFont="1" applyBorder="1"/>
    <xf numFmtId="166" fontId="17" fillId="0" borderId="0" xfId="79" applyNumberFormat="1" applyFont="1" applyFill="1" applyBorder="1"/>
    <xf numFmtId="43" fontId="17" fillId="0" borderId="0" xfId="79" applyNumberFormat="1" applyFont="1" applyBorder="1"/>
    <xf numFmtId="166" fontId="17" fillId="0" borderId="0" xfId="95" applyNumberFormat="1" applyFont="1" applyBorder="1"/>
    <xf numFmtId="43" fontId="6" fillId="0" borderId="0" xfId="94" applyNumberFormat="1" applyFont="1" applyFill="1" applyBorder="1"/>
    <xf numFmtId="43" fontId="6" fillId="0" borderId="0" xfId="94" applyNumberFormat="1" applyFont="1" applyFill="1"/>
    <xf numFmtId="0" fontId="14" fillId="41" borderId="0" xfId="0" applyFont="1" applyFill="1"/>
    <xf numFmtId="4" fontId="14" fillId="0" borderId="0" xfId="0" applyNumberFormat="1" applyFont="1" applyFill="1"/>
    <xf numFmtId="0" fontId="9" fillId="0" borderId="0" xfId="0" applyFont="1" applyFill="1" applyAlignment="1">
      <alignment horizontal="center"/>
    </xf>
    <xf numFmtId="164" fontId="14" fillId="0" borderId="0" xfId="0" applyNumberFormat="1" applyFont="1" applyFill="1" applyBorder="1" applyAlignment="1">
      <alignment horizontal="right"/>
    </xf>
    <xf numFmtId="0" fontId="9" fillId="46" borderId="0" xfId="0" applyFont="1" applyFill="1" applyAlignment="1">
      <alignment horizontal="center"/>
    </xf>
    <xf numFmtId="164" fontId="31" fillId="0" borderId="4" xfId="0" applyNumberFormat="1" applyFont="1" applyBorder="1" applyAlignment="1">
      <alignment horizontal="center" vertical="center"/>
    </xf>
    <xf numFmtId="0" fontId="31" fillId="0" borderId="0" xfId="0" applyFont="1" applyBorder="1" applyAlignment="1">
      <alignment vertical="center"/>
    </xf>
    <xf numFmtId="164" fontId="31" fillId="0" borderId="4" xfId="0" applyNumberFormat="1" applyFont="1" applyBorder="1" applyAlignment="1">
      <alignment horizontal="center"/>
    </xf>
    <xf numFmtId="0" fontId="31" fillId="0" borderId="0" xfId="0" applyFont="1" applyBorder="1"/>
    <xf numFmtId="0" fontId="31" fillId="0" borderId="4" xfId="0" applyFont="1" applyBorder="1" applyAlignment="1">
      <alignment horizontal="center"/>
    </xf>
    <xf numFmtId="0" fontId="32" fillId="0" borderId="0" xfId="0" applyFont="1" applyBorder="1"/>
    <xf numFmtId="0" fontId="11" fillId="0" borderId="2" xfId="0" applyFont="1" applyFill="1" applyBorder="1" applyAlignment="1">
      <alignment horizontal="center"/>
    </xf>
    <xf numFmtId="2" fontId="14" fillId="0" borderId="0" xfId="0" applyNumberFormat="1" applyFont="1" applyFill="1"/>
    <xf numFmtId="2" fontId="14" fillId="41" borderId="0" xfId="0" applyNumberFormat="1" applyFont="1" applyFill="1"/>
    <xf numFmtId="2" fontId="14" fillId="9" borderId="0" xfId="0" applyNumberFormat="1" applyFont="1" applyFill="1"/>
    <xf numFmtId="43" fontId="6" fillId="0" borderId="9" xfId="28" applyFont="1" applyFill="1" applyBorder="1" applyAlignment="1">
      <alignment horizontal="center"/>
    </xf>
    <xf numFmtId="43" fontId="6" fillId="0" borderId="10" xfId="28" applyFont="1" applyFill="1" applyBorder="1" applyAlignment="1">
      <alignment horizontal="center"/>
    </xf>
    <xf numFmtId="43" fontId="6" fillId="41" borderId="10" xfId="28" applyFont="1" applyFill="1" applyBorder="1" applyAlignment="1">
      <alignment horizontal="center"/>
    </xf>
    <xf numFmtId="164" fontId="14" fillId="41" borderId="0" xfId="0" applyNumberFormat="1" applyFont="1" applyFill="1"/>
    <xf numFmtId="0" fontId="7" fillId="0" borderId="48" xfId="28" applyNumberFormat="1" applyFont="1" applyBorder="1" applyAlignment="1" applyProtection="1">
      <alignment horizontal="left"/>
    </xf>
    <xf numFmtId="0" fontId="61" fillId="3" borderId="0" xfId="0" applyFont="1" applyFill="1" applyAlignment="1">
      <alignment horizontal="center"/>
    </xf>
    <xf numFmtId="0" fontId="16" fillId="0" borderId="0" xfId="0" applyFont="1" applyBorder="1" applyAlignment="1">
      <alignment horizontal="left"/>
    </xf>
    <xf numFmtId="0" fontId="16" fillId="0" borderId="19" xfId="0" applyFont="1" applyBorder="1"/>
    <xf numFmtId="0" fontId="16" fillId="0" borderId="20" xfId="0" applyFont="1" applyBorder="1"/>
    <xf numFmtId="166" fontId="16" fillId="0" borderId="14" xfId="45" applyNumberFormat="1" applyFont="1" applyFill="1" applyBorder="1"/>
    <xf numFmtId="43" fontId="8" fillId="0" borderId="65" xfId="28" applyFont="1" applyBorder="1" applyProtection="1"/>
    <xf numFmtId="0" fontId="6" fillId="0" borderId="48" xfId="0" applyFont="1" applyBorder="1" applyProtection="1"/>
    <xf numFmtId="4" fontId="8" fillId="2" borderId="1" xfId="28" applyNumberFormat="1" applyFont="1" applyFill="1" applyBorder="1" applyProtection="1"/>
    <xf numFmtId="3" fontId="7" fillId="0" borderId="1" xfId="28" applyNumberFormat="1" applyFont="1" applyBorder="1" applyProtection="1"/>
    <xf numFmtId="3" fontId="7" fillId="0" borderId="52" xfId="28" applyNumberFormat="1" applyFont="1" applyBorder="1" applyProtection="1"/>
    <xf numFmtId="3" fontId="7" fillId="0" borderId="48" xfId="28" applyNumberFormat="1" applyFont="1" applyBorder="1" applyProtection="1"/>
    <xf numFmtId="3" fontId="7" fillId="0" borderId="49" xfId="28" applyNumberFormat="1" applyFont="1" applyBorder="1" applyProtection="1"/>
    <xf numFmtId="3" fontId="7" fillId="0" borderId="55" xfId="28" applyNumberFormat="1" applyFont="1" applyBorder="1" applyProtection="1"/>
    <xf numFmtId="3" fontId="7" fillId="0" borderId="56" xfId="28" applyNumberFormat="1" applyFont="1" applyFill="1" applyBorder="1" applyProtection="1"/>
    <xf numFmtId="0" fontId="6" fillId="0" borderId="48" xfId="0" applyFont="1" applyBorder="1" applyAlignment="1">
      <alignment horizontal="left"/>
    </xf>
    <xf numFmtId="0" fontId="6" fillId="0" borderId="65" xfId="0" applyFont="1" applyBorder="1" applyProtection="1"/>
    <xf numFmtId="0" fontId="6" fillId="0" borderId="59" xfId="0" applyFont="1" applyBorder="1" applyProtection="1"/>
    <xf numFmtId="0" fontId="6" fillId="0" borderId="53" xfId="0" applyFont="1" applyBorder="1" applyProtection="1"/>
    <xf numFmtId="0" fontId="6" fillId="0" borderId="50" xfId="0" applyFont="1" applyBorder="1" applyProtection="1"/>
    <xf numFmtId="0" fontId="6" fillId="0" borderId="55" xfId="0" applyFont="1" applyBorder="1" applyProtection="1"/>
    <xf numFmtId="0" fontId="6" fillId="0" borderId="52" xfId="0" applyFont="1" applyBorder="1" applyProtection="1"/>
    <xf numFmtId="0" fontId="6" fillId="0" borderId="66" xfId="0" applyFont="1" applyBorder="1" applyProtection="1"/>
    <xf numFmtId="0" fontId="6" fillId="0" borderId="49" xfId="0" applyFont="1" applyBorder="1" applyProtection="1"/>
    <xf numFmtId="0" fontId="6" fillId="0" borderId="67" xfId="0" applyFont="1" applyBorder="1" applyProtection="1"/>
    <xf numFmtId="0" fontId="6" fillId="0" borderId="68" xfId="0" applyFont="1" applyBorder="1" applyProtection="1"/>
    <xf numFmtId="0" fontId="6" fillId="0" borderId="62" xfId="0" applyFont="1" applyBorder="1" applyProtection="1"/>
    <xf numFmtId="0" fontId="6" fillId="0" borderId="61" xfId="0" applyFont="1" applyBorder="1" applyProtection="1"/>
    <xf numFmtId="0" fontId="6" fillId="0" borderId="63" xfId="0" applyFont="1" applyBorder="1" applyProtection="1"/>
    <xf numFmtId="0" fontId="6" fillId="8" borderId="0" xfId="0" applyFont="1" applyFill="1" applyProtection="1"/>
    <xf numFmtId="0" fontId="6" fillId="8" borderId="17" xfId="0" applyFont="1" applyFill="1" applyBorder="1" applyProtection="1"/>
    <xf numFmtId="0" fontId="6" fillId="3" borderId="0" xfId="0" applyFont="1" applyFill="1" applyProtection="1"/>
    <xf numFmtId="0" fontId="6" fillId="0" borderId="0" xfId="0" applyFont="1" applyProtection="1"/>
    <xf numFmtId="3" fontId="7" fillId="0" borderId="49" xfId="28" applyNumberFormat="1" applyFont="1" applyFill="1" applyBorder="1" applyProtection="1"/>
    <xf numFmtId="3" fontId="7" fillId="0" borderId="55" xfId="28" applyNumberFormat="1" applyFont="1" applyFill="1" applyBorder="1" applyProtection="1"/>
    <xf numFmtId="3" fontId="7" fillId="0" borderId="52" xfId="28" applyNumberFormat="1" applyFont="1" applyFill="1" applyBorder="1" applyProtection="1"/>
    <xf numFmtId="4" fontId="8" fillId="2" borderId="1" xfId="28" applyNumberFormat="1" applyFont="1" applyFill="1" applyBorder="1" applyProtection="1">
      <protection locked="0"/>
    </xf>
    <xf numFmtId="0" fontId="19" fillId="0" borderId="24" xfId="0" applyFont="1" applyBorder="1" applyAlignment="1">
      <alignment horizontal="center"/>
    </xf>
    <xf numFmtId="0" fontId="17" fillId="0" borderId="14" xfId="0" applyFont="1" applyBorder="1"/>
    <xf numFmtId="0" fontId="17" fillId="0" borderId="14" xfId="0" applyFont="1" applyBorder="1" applyAlignment="1">
      <alignment horizontal="center"/>
    </xf>
    <xf numFmtId="166" fontId="17" fillId="0" borderId="30" xfId="28" applyNumberFormat="1" applyFont="1" applyFill="1" applyBorder="1" applyAlignment="1">
      <alignment horizontal="center"/>
    </xf>
    <xf numFmtId="166" fontId="17" fillId="0" borderId="72" xfId="28" applyNumberFormat="1" applyFont="1" applyBorder="1" applyAlignment="1">
      <alignment horizontal="center"/>
    </xf>
    <xf numFmtId="166" fontId="17" fillId="0" borderId="30" xfId="28" applyNumberFormat="1" applyFont="1" applyBorder="1" applyAlignment="1">
      <alignment horizontal="center"/>
    </xf>
    <xf numFmtId="166" fontId="17" fillId="0" borderId="14" xfId="28" applyNumberFormat="1" applyFont="1" applyBorder="1" applyAlignment="1">
      <alignment horizontal="center"/>
    </xf>
    <xf numFmtId="49" fontId="17" fillId="0" borderId="30" xfId="28" applyNumberFormat="1" applyFont="1" applyBorder="1" applyAlignment="1">
      <alignment horizontal="center"/>
    </xf>
    <xf numFmtId="0" fontId="17" fillId="0" borderId="73" xfId="0" applyFont="1" applyBorder="1" applyAlignment="1">
      <alignment horizontal="center"/>
    </xf>
    <xf numFmtId="43" fontId="17" fillId="0" borderId="28" xfId="28" applyNumberFormat="1" applyFont="1" applyFill="1" applyBorder="1"/>
    <xf numFmtId="43" fontId="16" fillId="0" borderId="34" xfId="28" applyNumberFormat="1" applyFont="1" applyFill="1" applyBorder="1"/>
    <xf numFmtId="43" fontId="17" fillId="0" borderId="34" xfId="28" applyNumberFormat="1" applyFont="1" applyFill="1" applyBorder="1"/>
    <xf numFmtId="166" fontId="17" fillId="0" borderId="34" xfId="28" applyNumberFormat="1" applyFont="1" applyFill="1" applyBorder="1"/>
    <xf numFmtId="166" fontId="17" fillId="0" borderId="29" xfId="28" applyNumberFormat="1" applyFont="1" applyFill="1" applyBorder="1"/>
    <xf numFmtId="43" fontId="17" fillId="0" borderId="28" xfId="45" applyNumberFormat="1" applyFont="1" applyFill="1" applyBorder="1"/>
    <xf numFmtId="43" fontId="16" fillId="0" borderId="34" xfId="45" applyNumberFormat="1" applyFont="1" applyFill="1" applyBorder="1"/>
    <xf numFmtId="43" fontId="17" fillId="0" borderId="34" xfId="45" applyNumberFormat="1" applyFont="1" applyFill="1" applyBorder="1"/>
    <xf numFmtId="166" fontId="17" fillId="0" borderId="34" xfId="45" applyNumberFormat="1" applyFont="1" applyFill="1" applyBorder="1"/>
    <xf numFmtId="166" fontId="17" fillId="0" borderId="29" xfId="45" applyNumberFormat="1" applyFont="1" applyFill="1" applyBorder="1"/>
    <xf numFmtId="166" fontId="16" fillId="0" borderId="28" xfId="28" applyNumberFormat="1" applyFont="1" applyBorder="1" applyAlignment="1">
      <alignment horizontal="center"/>
    </xf>
    <xf numFmtId="166" fontId="16" fillId="0" borderId="32" xfId="28" applyNumberFormat="1" applyFont="1" applyBorder="1" applyAlignment="1">
      <alignment horizontal="center"/>
    </xf>
    <xf numFmtId="0" fontId="16" fillId="0" borderId="26" xfId="0" applyFont="1" applyBorder="1" applyAlignment="1">
      <alignment horizontal="center"/>
    </xf>
    <xf numFmtId="0" fontId="16" fillId="0" borderId="20" xfId="0" applyFont="1" applyBorder="1" applyAlignment="1">
      <alignment horizontal="center"/>
    </xf>
    <xf numFmtId="0" fontId="16" fillId="0" borderId="28" xfId="0" applyFont="1" applyBorder="1" applyAlignment="1">
      <alignment horizontal="center"/>
    </xf>
    <xf numFmtId="0" fontId="16" fillId="0" borderId="29" xfId="0" applyFont="1" applyBorder="1" applyAlignment="1">
      <alignment horizontal="center"/>
    </xf>
    <xf numFmtId="166" fontId="17" fillId="0" borderId="15" xfId="28" applyNumberFormat="1" applyFont="1" applyBorder="1" applyAlignment="1">
      <alignment horizontal="center"/>
    </xf>
    <xf numFmtId="166" fontId="16" fillId="0" borderId="30" xfId="28" applyNumberFormat="1" applyFont="1" applyBorder="1" applyAlignment="1">
      <alignment horizontal="center"/>
    </xf>
    <xf numFmtId="166" fontId="16" fillId="0" borderId="31" xfId="28" applyNumberFormat="1" applyFont="1" applyBorder="1" applyAlignment="1">
      <alignment horizontal="center"/>
    </xf>
    <xf numFmtId="0" fontId="16" fillId="0" borderId="14" xfId="0" applyFont="1" applyBorder="1" applyAlignment="1">
      <alignment horizontal="center"/>
    </xf>
    <xf numFmtId="0" fontId="16" fillId="0" borderId="31" xfId="0" applyFont="1" applyBorder="1" applyAlignment="1">
      <alignment horizontal="center"/>
    </xf>
    <xf numFmtId="0" fontId="20" fillId="0" borderId="4" xfId="0" applyFont="1" applyBorder="1" applyAlignment="1">
      <alignment horizontal="left" vertical="center" wrapText="1"/>
    </xf>
    <xf numFmtId="0" fontId="20" fillId="0" borderId="0" xfId="0" applyFont="1" applyBorder="1" applyAlignment="1">
      <alignment horizontal="left" vertical="center" wrapText="1"/>
    </xf>
    <xf numFmtId="0" fontId="20" fillId="0" borderId="12" xfId="0" applyFont="1" applyBorder="1" applyAlignment="1">
      <alignment horizontal="left" vertical="center" wrapText="1"/>
    </xf>
    <xf numFmtId="0" fontId="20" fillId="0" borderId="4" xfId="44" applyNumberFormat="1" applyFont="1" applyFill="1" applyBorder="1" applyAlignment="1">
      <alignment horizontal="left" vertical="center" wrapText="1"/>
    </xf>
    <xf numFmtId="0" fontId="36" fillId="0" borderId="0" xfId="44" applyFill="1" applyBorder="1" applyAlignment="1">
      <alignment vertical="center" wrapText="1"/>
    </xf>
    <xf numFmtId="0" fontId="36" fillId="0" borderId="12" xfId="44" applyFill="1" applyBorder="1" applyAlignment="1">
      <alignment vertical="center" wrapText="1"/>
    </xf>
    <xf numFmtId="0" fontId="20" fillId="0" borderId="4" xfId="44" applyFont="1" applyBorder="1" applyAlignment="1">
      <alignment horizontal="left" vertical="center" wrapText="1"/>
    </xf>
    <xf numFmtId="0" fontId="36" fillId="0" borderId="0" xfId="44" applyBorder="1" applyAlignment="1">
      <alignment horizontal="left" vertical="center" wrapText="1"/>
    </xf>
    <xf numFmtId="0" fontId="36" fillId="0" borderId="12" xfId="44" applyBorder="1" applyAlignment="1">
      <alignment horizontal="left" vertical="center" wrapText="1"/>
    </xf>
    <xf numFmtId="0" fontId="20" fillId="0" borderId="7" xfId="44" applyFont="1" applyBorder="1" applyAlignment="1">
      <alignment horizontal="left" vertical="center" wrapText="1"/>
    </xf>
    <xf numFmtId="0" fontId="36" fillId="0" borderId="8" xfId="44" applyBorder="1" applyAlignment="1">
      <alignment horizontal="left" vertical="center" wrapText="1"/>
    </xf>
    <xf numFmtId="0" fontId="36" fillId="0" borderId="13" xfId="44" applyBorder="1" applyAlignment="1">
      <alignment horizontal="left" vertical="center" wrapText="1"/>
    </xf>
    <xf numFmtId="0" fontId="20" fillId="0" borderId="4" xfId="0" applyFont="1" applyFill="1" applyBorder="1" applyAlignment="1">
      <alignment horizontal="left" vertical="center" wrapText="1"/>
    </xf>
    <xf numFmtId="0" fontId="6" fillId="0" borderId="0" xfId="0" applyFont="1" applyFill="1" applyBorder="1" applyAlignment="1">
      <alignment horizontal="left" vertical="center" wrapText="1"/>
    </xf>
    <xf numFmtId="0" fontId="6" fillId="0" borderId="12" xfId="0" applyFont="1" applyFill="1" applyBorder="1" applyAlignment="1">
      <alignment horizontal="left" vertical="center" wrapText="1"/>
    </xf>
    <xf numFmtId="0" fontId="20" fillId="0" borderId="4" xfId="44" applyFont="1" applyFill="1" applyBorder="1" applyAlignment="1">
      <alignment vertical="center" wrapText="1"/>
    </xf>
    <xf numFmtId="0" fontId="20" fillId="0" borderId="4" xfId="44" applyFont="1" applyBorder="1" applyAlignment="1">
      <alignment vertical="center" wrapText="1"/>
    </xf>
    <xf numFmtId="0" fontId="36" fillId="0" borderId="0" xfId="44" applyBorder="1" applyAlignment="1">
      <alignment vertical="center" wrapText="1"/>
    </xf>
    <xf numFmtId="0" fontId="36" fillId="0" borderId="12" xfId="44" applyBorder="1" applyAlignment="1">
      <alignment vertical="center" wrapText="1"/>
    </xf>
    <xf numFmtId="0" fontId="7" fillId="0" borderId="65" xfId="28" applyNumberFormat="1" applyFont="1" applyBorder="1" applyAlignment="1" applyProtection="1">
      <alignment horizontal="left"/>
    </xf>
    <xf numFmtId="0" fontId="7" fillId="0" borderId="48" xfId="28" applyNumberFormat="1" applyFont="1" applyBorder="1" applyAlignment="1" applyProtection="1">
      <alignment horizontal="left"/>
    </xf>
    <xf numFmtId="0" fontId="62" fillId="8" borderId="18" xfId="0" applyFont="1" applyFill="1" applyBorder="1" applyAlignment="1" applyProtection="1">
      <alignment wrapText="1"/>
    </xf>
    <xf numFmtId="0" fontId="62" fillId="0" borderId="15" xfId="0" applyFont="1" applyBorder="1" applyAlignment="1">
      <alignment wrapText="1"/>
    </xf>
    <xf numFmtId="0" fontId="62" fillId="0" borderId="16" xfId="0" applyFont="1" applyBorder="1" applyAlignment="1">
      <alignment wrapText="1"/>
    </xf>
    <xf numFmtId="0" fontId="9" fillId="8" borderId="33" xfId="0" applyFont="1" applyFill="1" applyBorder="1" applyAlignment="1" applyProtection="1">
      <alignment vertical="center" wrapText="1"/>
    </xf>
    <xf numFmtId="0" fontId="6" fillId="0" borderId="34" xfId="0" applyFont="1" applyBorder="1" applyAlignment="1">
      <alignment vertical="center" wrapText="1"/>
    </xf>
    <xf numFmtId="0" fontId="6" fillId="0" borderId="32" xfId="0" applyFont="1" applyBorder="1" applyAlignment="1">
      <alignment vertical="center" wrapText="1"/>
    </xf>
    <xf numFmtId="0" fontId="9" fillId="8" borderId="35" xfId="0" applyFont="1" applyFill="1" applyBorder="1" applyAlignment="1" applyProtection="1">
      <alignment vertical="center" wrapText="1"/>
    </xf>
    <xf numFmtId="0" fontId="6" fillId="0" borderId="36" xfId="0" applyFont="1" applyBorder="1" applyAlignment="1">
      <alignment vertical="center" wrapText="1"/>
    </xf>
    <xf numFmtId="0" fontId="6" fillId="0" borderId="37" xfId="0" applyFont="1" applyBorder="1" applyAlignment="1">
      <alignment vertical="center" wrapText="1"/>
    </xf>
    <xf numFmtId="43" fontId="21" fillId="7" borderId="18" xfId="28" applyFont="1" applyFill="1" applyBorder="1" applyAlignment="1" applyProtection="1">
      <alignment horizontal="center"/>
    </xf>
    <xf numFmtId="43" fontId="21" fillId="7" borderId="15" xfId="28" applyFont="1" applyFill="1" applyBorder="1" applyAlignment="1" applyProtection="1">
      <alignment horizontal="center"/>
    </xf>
    <xf numFmtId="43" fontId="21" fillId="7" borderId="16" xfId="28" applyFont="1" applyFill="1" applyBorder="1" applyAlignment="1" applyProtection="1">
      <alignment horizontal="center"/>
    </xf>
    <xf numFmtId="0" fontId="7" fillId="43" borderId="7" xfId="0" applyFont="1" applyFill="1" applyBorder="1" applyAlignment="1" applyProtection="1">
      <alignment horizontal="center" vertical="center" wrapText="1"/>
    </xf>
    <xf numFmtId="0" fontId="7" fillId="43" borderId="8" xfId="0" applyFont="1" applyFill="1" applyBorder="1" applyAlignment="1" applyProtection="1">
      <alignment horizontal="center" vertical="center" wrapText="1"/>
    </xf>
    <xf numFmtId="0" fontId="7" fillId="43" borderId="13" xfId="0" applyFont="1" applyFill="1" applyBorder="1" applyAlignment="1" applyProtection="1">
      <alignment horizontal="center" vertical="center" wrapText="1"/>
    </xf>
    <xf numFmtId="0" fontId="13" fillId="0" borderId="0" xfId="36" applyAlignment="1" applyProtection="1"/>
    <xf numFmtId="43" fontId="21" fillId="4" borderId="18" xfId="28" applyFont="1" applyFill="1" applyBorder="1" applyAlignment="1" applyProtection="1">
      <alignment horizontal="center"/>
    </xf>
    <xf numFmtId="43" fontId="21" fillId="4" borderId="15" xfId="28" applyFont="1" applyFill="1" applyBorder="1" applyAlignment="1" applyProtection="1">
      <alignment horizontal="center"/>
    </xf>
    <xf numFmtId="43" fontId="21" fillId="4" borderId="16" xfId="28" applyFont="1" applyFill="1" applyBorder="1" applyAlignment="1" applyProtection="1">
      <alignment horizontal="center"/>
    </xf>
    <xf numFmtId="0" fontId="7" fillId="44" borderId="7" xfId="0" applyFont="1" applyFill="1" applyBorder="1" applyAlignment="1" applyProtection="1">
      <alignment horizontal="center" vertical="center" wrapText="1"/>
    </xf>
    <xf numFmtId="0" fontId="7" fillId="44" borderId="8" xfId="0" applyFont="1" applyFill="1" applyBorder="1" applyAlignment="1" applyProtection="1">
      <alignment horizontal="center" vertical="center" wrapText="1"/>
    </xf>
    <xf numFmtId="0" fontId="7" fillId="44" borderId="13" xfId="0" applyFont="1" applyFill="1" applyBorder="1" applyAlignment="1" applyProtection="1">
      <alignment horizontal="center" vertical="center" wrapText="1"/>
    </xf>
    <xf numFmtId="0" fontId="13" fillId="42" borderId="4" xfId="36" applyNumberFormat="1" applyFill="1" applyBorder="1" applyAlignment="1" applyProtection="1">
      <alignment horizontal="center" vertical="center"/>
    </xf>
    <xf numFmtId="0" fontId="13" fillId="42" borderId="0" xfId="36" applyNumberFormat="1" applyFill="1" applyBorder="1" applyAlignment="1" applyProtection="1">
      <alignment horizontal="center" vertical="center"/>
    </xf>
    <xf numFmtId="43" fontId="21" fillId="5" borderId="18" xfId="28" applyFont="1" applyFill="1" applyBorder="1" applyAlignment="1" applyProtection="1">
      <alignment horizontal="center"/>
    </xf>
    <xf numFmtId="43" fontId="21" fillId="5" borderId="15" xfId="28" applyFont="1" applyFill="1" applyBorder="1" applyAlignment="1" applyProtection="1">
      <alignment horizontal="center"/>
    </xf>
    <xf numFmtId="43" fontId="21" fillId="5" borderId="16" xfId="28" applyFont="1" applyFill="1" applyBorder="1" applyAlignment="1" applyProtection="1">
      <alignment horizontal="center"/>
    </xf>
    <xf numFmtId="0" fontId="7" fillId="45" borderId="7" xfId="0" applyFont="1" applyFill="1" applyBorder="1" applyAlignment="1" applyProtection="1">
      <alignment horizontal="center" vertical="center" wrapText="1"/>
    </xf>
    <xf numFmtId="0" fontId="7" fillId="45" borderId="8" xfId="0" applyFont="1" applyFill="1" applyBorder="1" applyAlignment="1" applyProtection="1">
      <alignment horizontal="center" vertical="center" wrapText="1"/>
    </xf>
    <xf numFmtId="0" fontId="7" fillId="45" borderId="13" xfId="0" applyFont="1" applyFill="1" applyBorder="1" applyAlignment="1" applyProtection="1">
      <alignment horizontal="center" vertical="center" wrapText="1"/>
    </xf>
    <xf numFmtId="0" fontId="9" fillId="0" borderId="0" xfId="0" applyFont="1" applyFill="1" applyAlignment="1">
      <alignment horizontal="center"/>
    </xf>
  </cellXfs>
  <cellStyles count="174">
    <cellStyle name="20% - Accent1" xfId="1" builtinId="30" customBuiltin="1"/>
    <cellStyle name="20% - Accent1 2" xfId="63"/>
    <cellStyle name="20% - Accent1 3" xfId="82"/>
    <cellStyle name="20% - Accent1 4" xfId="98"/>
    <cellStyle name="20% - Accent1 5" xfId="114"/>
    <cellStyle name="20% - Accent2" xfId="2" builtinId="34" customBuiltin="1"/>
    <cellStyle name="20% - Accent2 2" xfId="65"/>
    <cellStyle name="20% - Accent2 3" xfId="84"/>
    <cellStyle name="20% - Accent2 4" xfId="100"/>
    <cellStyle name="20% - Accent2 5" xfId="116"/>
    <cellStyle name="20% - Accent3" xfId="3" builtinId="38" customBuiltin="1"/>
    <cellStyle name="20% - Accent3 2" xfId="67"/>
    <cellStyle name="20% - Accent3 3" xfId="86"/>
    <cellStyle name="20% - Accent3 4" xfId="102"/>
    <cellStyle name="20% - Accent3 5" xfId="118"/>
    <cellStyle name="20% - Accent4" xfId="4" builtinId="42" customBuiltin="1"/>
    <cellStyle name="20% - Accent4 2" xfId="69"/>
    <cellStyle name="20% - Accent4 3" xfId="88"/>
    <cellStyle name="20% - Accent4 4" xfId="104"/>
    <cellStyle name="20% - Accent4 5" xfId="120"/>
    <cellStyle name="20% - Accent5" xfId="5" builtinId="46" customBuiltin="1"/>
    <cellStyle name="20% - Accent5 2" xfId="71"/>
    <cellStyle name="20% - Accent5 3" xfId="90"/>
    <cellStyle name="20% - Accent5 4" xfId="106"/>
    <cellStyle name="20% - Accent5 5" xfId="122"/>
    <cellStyle name="20% - Accent6" xfId="6" builtinId="50" customBuiltin="1"/>
    <cellStyle name="20% - Accent6 2" xfId="73"/>
    <cellStyle name="20% - Accent6 3" xfId="92"/>
    <cellStyle name="20% - Accent6 4" xfId="108"/>
    <cellStyle name="20% - Accent6 5" xfId="124"/>
    <cellStyle name="40% - Accent1" xfId="7" builtinId="31" customBuiltin="1"/>
    <cellStyle name="40% - Accent1 2" xfId="64"/>
    <cellStyle name="40% - Accent1 3" xfId="83"/>
    <cellStyle name="40% - Accent1 4" xfId="99"/>
    <cellStyle name="40% - Accent1 5" xfId="115"/>
    <cellStyle name="40% - Accent2" xfId="8" builtinId="35" customBuiltin="1"/>
    <cellStyle name="40% - Accent2 2" xfId="66"/>
    <cellStyle name="40% - Accent2 3" xfId="85"/>
    <cellStyle name="40% - Accent2 4" xfId="101"/>
    <cellStyle name="40% - Accent2 5" xfId="117"/>
    <cellStyle name="40% - Accent3" xfId="9" builtinId="39" customBuiltin="1"/>
    <cellStyle name="40% - Accent3 2" xfId="68"/>
    <cellStyle name="40% - Accent3 3" xfId="87"/>
    <cellStyle name="40% - Accent3 4" xfId="103"/>
    <cellStyle name="40% - Accent3 5" xfId="119"/>
    <cellStyle name="40% - Accent4" xfId="10" builtinId="43" customBuiltin="1"/>
    <cellStyle name="40% - Accent4 2" xfId="70"/>
    <cellStyle name="40% - Accent4 3" xfId="89"/>
    <cellStyle name="40% - Accent4 4" xfId="105"/>
    <cellStyle name="40% - Accent4 5" xfId="121"/>
    <cellStyle name="40% - Accent5" xfId="11" builtinId="47" customBuiltin="1"/>
    <cellStyle name="40% - Accent5 2" xfId="72"/>
    <cellStyle name="40% - Accent5 3" xfId="91"/>
    <cellStyle name="40% - Accent5 4" xfId="107"/>
    <cellStyle name="40% - Accent5 5" xfId="123"/>
    <cellStyle name="40% - Accent6" xfId="12" builtinId="51" customBuiltin="1"/>
    <cellStyle name="40% - Accent6 2" xfId="74"/>
    <cellStyle name="40% - Accent6 3" xfId="93"/>
    <cellStyle name="40% - Accent6 4" xfId="109"/>
    <cellStyle name="40% - Accent6 5" xfId="125"/>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omma 2" xfId="47"/>
    <cellStyle name="Comma 2 2" xfId="130"/>
    <cellStyle name="Comma 2 3" xfId="127"/>
    <cellStyle name="Comma 3" xfId="50"/>
    <cellStyle name="Comma 3 2" xfId="75"/>
    <cellStyle name="Comma 3 2 2" xfId="145"/>
    <cellStyle name="Comma 3 3" xfId="146"/>
    <cellStyle name="Comma 3 4" xfId="144"/>
    <cellStyle name="Comma 3 5" xfId="132"/>
    <cellStyle name="Comma 4" xfId="57"/>
    <cellStyle name="Comma 4 2" xfId="129"/>
    <cellStyle name="Comma 5" xfId="45"/>
    <cellStyle name="Comma 5 2" xfId="148"/>
    <cellStyle name="Comma 5 3" xfId="147"/>
    <cellStyle name="Comma 5 4" xfId="136"/>
    <cellStyle name="Comma 6" xfId="60"/>
    <cellStyle name="Comma 6 2" xfId="150"/>
    <cellStyle name="Comma 6 3" xfId="149"/>
    <cellStyle name="Comma 7" xfId="79"/>
    <cellStyle name="Comma 8" xfId="95"/>
    <cellStyle name="Comma 9" xfId="111"/>
    <cellStyle name="Currency" xfId="29" builtinId="4"/>
    <cellStyle name="Currency 2" xfId="51"/>
    <cellStyle name="Currency 2 2" xfId="76"/>
    <cellStyle name="Currency 3" xfId="58"/>
    <cellStyle name="Currency 3 2" xfId="151"/>
    <cellStyle name="Currency 3 3" xfId="135"/>
    <cellStyle name="Currency 4" xfId="61"/>
    <cellStyle name="Currency 4 2" xfId="131"/>
    <cellStyle name="Currency 5" xfId="80"/>
    <cellStyle name="Currency 5 2" xfId="153"/>
    <cellStyle name="Currency 5 3" xfId="152"/>
    <cellStyle name="Currency 5 4" xfId="137"/>
    <cellStyle name="Currency 6" xfId="96"/>
    <cellStyle name="Currency 6 2" xfId="155"/>
    <cellStyle name="Currency 6 3" xfId="154"/>
    <cellStyle name="Currency 7" xfId="112"/>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Hyperlink 2" xfId="156"/>
    <cellStyle name="Input" xfId="37" builtinId="20" customBuiltin="1"/>
    <cellStyle name="Linked Cell" xfId="38" builtinId="24" customBuiltin="1"/>
    <cellStyle name="Neutral" xfId="39" builtinId="28" customBuiltin="1"/>
    <cellStyle name="Normal" xfId="0" builtinId="0"/>
    <cellStyle name="Normal 10" xfId="94"/>
    <cellStyle name="Normal 11" xfId="110"/>
    <cellStyle name="Normal 12" xfId="126"/>
    <cellStyle name="Normal 2" xfId="46"/>
    <cellStyle name="Normal 2 2" xfId="52"/>
    <cellStyle name="Normal 2 3" xfId="139"/>
    <cellStyle name="Normal 3" xfId="49"/>
    <cellStyle name="Normal 3 2" xfId="140"/>
    <cellStyle name="Normal 3 2 2" xfId="158"/>
    <cellStyle name="Normal 3 3" xfId="157"/>
    <cellStyle name="Normal 3 4" xfId="133"/>
    <cellStyle name="Normal 4" xfId="54"/>
    <cellStyle name="Normal 4 2" xfId="160"/>
    <cellStyle name="Normal 4 3" xfId="159"/>
    <cellStyle name="Normal 4 4" xfId="128"/>
    <cellStyle name="Normal 5" xfId="55"/>
    <cellStyle name="Normal 5 2" xfId="162"/>
    <cellStyle name="Normal 5 3" xfId="161"/>
    <cellStyle name="Normal 5 4" xfId="141"/>
    <cellStyle name="Normal 6" xfId="56"/>
    <cellStyle name="Normal 6 2" xfId="164"/>
    <cellStyle name="Normal 6 3" xfId="163"/>
    <cellStyle name="Normal 6 4" xfId="142"/>
    <cellStyle name="Normal 7" xfId="44"/>
    <cellStyle name="Normal 7 2" xfId="166"/>
    <cellStyle name="Normal 7 3" xfId="165"/>
    <cellStyle name="Normal 7 4" xfId="143"/>
    <cellStyle name="Normal 8" xfId="59"/>
    <cellStyle name="Normal 8 2" xfId="167"/>
    <cellStyle name="Normal 9" xfId="78"/>
    <cellStyle name="Note 2" xfId="48"/>
    <cellStyle name="Note 3" xfId="62"/>
    <cellStyle name="Note 4" xfId="81"/>
    <cellStyle name="Note 5" xfId="97"/>
    <cellStyle name="Note 6" xfId="113"/>
    <cellStyle name="Output" xfId="40" builtinId="21" customBuiltin="1"/>
    <cellStyle name="Percent 2" xfId="53"/>
    <cellStyle name="Percent 2 2" xfId="77"/>
    <cellStyle name="Percent 3" xfId="134"/>
    <cellStyle name="Percent 3 2" xfId="169"/>
    <cellStyle name="Percent 3 3" xfId="168"/>
    <cellStyle name="Percent 4" xfId="138"/>
    <cellStyle name="Percent 4 2" xfId="171"/>
    <cellStyle name="Percent 4 3" xfId="170"/>
    <cellStyle name="Percent 5" xfId="172"/>
    <cellStyle name="Percent 5 2" xfId="173"/>
    <cellStyle name="Title" xfId="41" builtinId="15" customBuiltin="1"/>
    <cellStyle name="Total" xfId="42" builtinId="25" customBuiltin="1"/>
    <cellStyle name="Warning Text" xfId="43" builtinId="11" customBuiltin="1"/>
  </cellStyles>
  <dxfs count="108">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ill>
        <patternFill>
          <bgColor indexed="26"/>
        </patternFill>
      </fill>
      <border>
        <top style="thin">
          <color indexed="64"/>
        </top>
        <bottom style="thin">
          <color indexed="64"/>
        </bottom>
      </border>
    </dxf>
    <dxf>
      <fill>
        <patternFill>
          <bgColor indexed="26"/>
        </patternFill>
      </fill>
      <border>
        <top style="thin">
          <color indexed="64"/>
        </top>
        <bottom style="thin">
          <color indexed="64"/>
        </bottom>
      </border>
    </dxf>
    <dxf>
      <font>
        <b/>
        <i val="0"/>
        <condense val="0"/>
        <extend val="0"/>
      </font>
      <fill>
        <patternFill>
          <bgColor indexed="26"/>
        </patternFill>
      </fill>
      <border>
        <left style="thin">
          <color indexed="64"/>
        </left>
        <right/>
        <top style="thin">
          <color indexed="64"/>
        </top>
        <bottom style="thin">
          <color indexed="64"/>
        </bottom>
      </border>
    </dxf>
    <dxf>
      <font>
        <b/>
        <i val="0"/>
        <condense val="0"/>
        <extend val="0"/>
      </font>
      <fill>
        <patternFill>
          <bgColor indexed="26"/>
        </patternFill>
      </fill>
      <border>
        <left/>
        <right/>
        <top style="thin">
          <color indexed="64"/>
        </top>
        <bottom style="thin">
          <color indexed="64"/>
        </bottom>
      </border>
    </dxf>
    <dxf>
      <font>
        <b/>
        <i val="0"/>
        <condense val="0"/>
        <extend val="0"/>
      </font>
      <fill>
        <patternFill>
          <bgColor indexed="26"/>
        </patternFill>
      </fill>
      <border>
        <left style="thin">
          <color indexed="64"/>
        </left>
        <right/>
        <top style="thin">
          <color indexed="64"/>
        </top>
        <bottom style="thin">
          <color indexed="64"/>
        </bottom>
      </border>
    </dxf>
    <dxf>
      <font>
        <b/>
        <i val="0"/>
        <condense val="0"/>
        <extend val="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font>
      <fill>
        <patternFill>
          <bgColor indexed="26"/>
        </patternFill>
      </fill>
      <border>
        <left/>
        <right style="thin">
          <color indexed="64"/>
        </right>
        <top style="thin">
          <color indexed="64"/>
        </top>
        <bottom style="thin">
          <color indexed="64"/>
        </bottom>
      </border>
    </dxf>
    <dxf>
      <font>
        <b/>
        <i val="0"/>
        <condense val="0"/>
        <extend val="0"/>
        <color indexed="17"/>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font>
      <fill>
        <patternFill>
          <bgColor indexed="26"/>
        </patternFill>
      </fill>
      <border>
        <left/>
        <right style="thin">
          <color indexed="64"/>
        </right>
        <top style="thin">
          <color indexed="64"/>
        </top>
        <bottom style="thin">
          <color indexed="64"/>
        </bottom>
      </border>
    </dxf>
    <dxf>
      <font>
        <b/>
        <i val="0"/>
        <condense val="0"/>
        <extend val="0"/>
        <color indexed="17"/>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font>
      <fill>
        <patternFill>
          <bgColor indexed="26"/>
        </patternFill>
      </fill>
      <border>
        <left style="thin">
          <color indexed="64"/>
        </left>
        <right/>
        <top style="thin">
          <color indexed="64"/>
        </top>
        <bottom style="thin">
          <color indexed="64"/>
        </bottom>
      </border>
    </dxf>
    <dxf>
      <font>
        <b/>
        <i val="0"/>
        <condense val="0"/>
        <extend val="0"/>
      </font>
      <fill>
        <patternFill>
          <bgColor indexed="26"/>
        </patternFill>
      </fill>
      <border>
        <left/>
        <right style="thin">
          <color indexed="64"/>
        </right>
        <top style="thin">
          <color indexed="64"/>
        </top>
        <bottom style="thin">
          <color indexed="64"/>
        </bottom>
      </border>
    </dxf>
    <dxf>
      <font>
        <b/>
        <i val="0"/>
        <condense val="0"/>
        <extend val="0"/>
        <color indexed="17"/>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font>
      <fill>
        <patternFill>
          <bgColor indexed="26"/>
        </patternFill>
      </fill>
      <border>
        <left style="thin">
          <color indexed="64"/>
        </left>
        <right/>
        <top style="thin">
          <color indexed="64"/>
        </top>
        <bottom style="thin">
          <color indexed="64"/>
        </bottom>
      </border>
    </dxf>
    <dxf>
      <font>
        <b/>
        <i val="0"/>
        <condense val="0"/>
        <extend val="0"/>
      </font>
      <fill>
        <patternFill>
          <bgColor indexed="26"/>
        </patternFill>
      </fill>
      <border>
        <left/>
        <right style="thin">
          <color indexed="64"/>
        </right>
        <top style="thin">
          <color indexed="64"/>
        </top>
        <bottom style="thin">
          <color indexed="64"/>
        </bottom>
      </border>
    </dxf>
    <dxf>
      <font>
        <b/>
        <i val="0"/>
        <condense val="0"/>
        <extend val="0"/>
        <color indexed="17"/>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font>
      <fill>
        <patternFill>
          <bgColor indexed="26"/>
        </patternFill>
      </fill>
      <border>
        <left style="thin">
          <color indexed="64"/>
        </left>
        <right/>
        <top style="thin">
          <color indexed="64"/>
        </top>
        <bottom style="thin">
          <color indexed="64"/>
        </bottom>
      </border>
    </dxf>
    <dxf>
      <font>
        <b/>
        <i val="0"/>
        <condense val="0"/>
        <extend val="0"/>
      </font>
      <fill>
        <patternFill>
          <bgColor indexed="26"/>
        </patternFill>
      </fill>
      <border>
        <left/>
        <right style="thin">
          <color indexed="64"/>
        </right>
        <top style="thin">
          <color indexed="64"/>
        </top>
        <bottom style="thin">
          <color indexed="64"/>
        </bottom>
      </border>
    </dxf>
    <dxf>
      <font>
        <b/>
        <i val="0"/>
        <condense val="0"/>
        <extend val="0"/>
        <color indexed="17"/>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
      <font>
        <b/>
        <i val="0"/>
        <condense val="0"/>
        <extend val="0"/>
      </font>
      <fill>
        <patternFill>
          <bgColor indexed="26"/>
        </patternFill>
      </fill>
      <border>
        <left style="thin">
          <color indexed="64"/>
        </left>
        <right/>
        <top style="thin">
          <color indexed="64"/>
        </top>
        <bottom style="thin">
          <color indexed="64"/>
        </bottom>
      </border>
    </dxf>
    <dxf>
      <font>
        <b/>
        <i val="0"/>
        <condense val="0"/>
        <extend val="0"/>
      </font>
      <fill>
        <patternFill>
          <bgColor indexed="26"/>
        </patternFill>
      </fill>
      <border>
        <left/>
        <right style="thin">
          <color indexed="64"/>
        </right>
        <top style="thin">
          <color indexed="64"/>
        </top>
        <bottom style="thin">
          <color indexed="64"/>
        </bottom>
      </border>
    </dxf>
    <dxf>
      <font>
        <b/>
        <i val="0"/>
        <condense val="0"/>
        <extend val="0"/>
        <color indexed="17"/>
      </font>
      <fill>
        <patternFill>
          <bgColor indexed="26"/>
        </patternFill>
      </fill>
      <border>
        <left/>
        <right/>
        <top style="thin">
          <color indexed="64"/>
        </top>
        <bottom style="thin">
          <color indexed="64"/>
        </bottom>
      </border>
    </dxf>
    <dxf>
      <font>
        <b/>
        <i val="0"/>
        <condense val="0"/>
        <extend val="0"/>
        <color indexed="60"/>
      </font>
      <fill>
        <patternFill>
          <bgColor indexed="26"/>
        </patternFill>
      </fill>
      <border>
        <left/>
        <right/>
        <top style="thin">
          <color indexed="64"/>
        </top>
        <bottom style="thin">
          <color indexed="64"/>
        </bottom>
      </border>
    </dxf>
    <dxf>
      <font>
        <b/>
        <i val="0"/>
        <condense val="0"/>
        <extend val="0"/>
      </font>
      <fill>
        <patternFill>
          <bgColor indexed="26"/>
        </patternFill>
      </fill>
      <border>
        <left/>
        <right/>
        <top style="thin">
          <color indexed="64"/>
        </top>
        <bottom style="thin">
          <color indexed="64"/>
        </bottom>
      </border>
    </dxf>
    <dxf>
      <font>
        <b/>
        <i val="0"/>
        <condense val="0"/>
        <extend val="0"/>
        <color indexed="12"/>
      </font>
      <fill>
        <patternFill>
          <bgColor indexed="26"/>
        </patternFill>
      </fill>
      <border>
        <left/>
        <right/>
        <top style="thin">
          <color indexed="64"/>
        </top>
        <bottom style="thin">
          <color indexed="64"/>
        </bottom>
      </border>
    </dxf>
  </dxfs>
  <tableStyles count="0" defaultTableStyle="TableStyleMedium9"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12" dropStyle="combo" dx="20" fmlaRange="'Division Source'!$A$1:$A$133" sel="1" val="0"/>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714375</xdr:colOff>
          <xdr:row>2</xdr:row>
          <xdr:rowOff>190500</xdr:rowOff>
        </xdr:from>
        <xdr:to>
          <xdr:col>7</xdr:col>
          <xdr:colOff>219075</xdr:colOff>
          <xdr:row>4</xdr:row>
          <xdr:rowOff>180975</xdr:rowOff>
        </xdr:to>
        <xdr:sp macro="" textlink="">
          <xdr:nvSpPr>
            <xdr:cNvPr id="6145" name="T15_Drop_Data"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44</xdr:col>
          <xdr:colOff>123825</xdr:colOff>
          <xdr:row>1</xdr:row>
          <xdr:rowOff>85725</xdr:rowOff>
        </xdr:from>
        <xdr:to>
          <xdr:col>53</xdr:col>
          <xdr:colOff>533400</xdr:colOff>
          <xdr:row>3</xdr:row>
          <xdr:rowOff>133350</xdr:rowOff>
        </xdr:to>
        <xdr:sp macro="" textlink="">
          <xdr:nvSpPr>
            <xdr:cNvPr id="6151" name="Button 7"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FF0000"/>
                  </a:solidFill>
                  <a:latin typeface="Arial"/>
                  <a:cs typeface="Arial"/>
                </a:rPr>
                <a:t>Check All Divisions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https://p1pe.doe.virginia.gov/asrfin/view_app_documents.do?resource_id=482"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p1pe.doe.virginia.gov/asrfin/view_app_documents.do?resource_id=482" TargetMode="External"/><Relationship Id="rId1" Type="http://schemas.openxmlformats.org/officeDocument/2006/relationships/hyperlink" Target="http://www.doe.virginia.gov/VDOE/Finance/Budget/cdc/asr_other.html"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1pe.doe.virginia.gov/asrfin/view_app_documents.do?resource_id=482" TargetMode="External"/><Relationship Id="rId1" Type="http://schemas.openxmlformats.org/officeDocument/2006/relationships/hyperlink" Target="http://www.doe.virginia.gov/VDOE/Finance/Budget/cdc/asr_other.html"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C0C0C0"/>
  </sheetPr>
  <dimension ref="A1:AE185"/>
  <sheetViews>
    <sheetView tabSelected="1" zoomScale="90" zoomScaleNormal="90" workbookViewId="0">
      <pane xSplit="2" ySplit="9" topLeftCell="C133" activePane="bottomRight" state="frozen"/>
      <selection pane="topRight"/>
      <selection pane="bottomLeft"/>
      <selection pane="bottomRight" activeCell="A3" sqref="A3"/>
    </sheetView>
  </sheetViews>
  <sheetFormatPr defaultColWidth="9.140625" defaultRowHeight="12.75" x14ac:dyDescent="0.2"/>
  <cols>
    <col min="1" max="1" width="4" style="9" bestFit="1" customWidth="1"/>
    <col min="2" max="2" width="21.5703125" style="6" customWidth="1"/>
    <col min="3" max="3" width="14.5703125" style="7" bestFit="1" customWidth="1"/>
    <col min="4" max="4" width="18.7109375" style="10" customWidth="1"/>
    <col min="5" max="5" width="11" style="7" bestFit="1" customWidth="1"/>
    <col min="6" max="6" width="18.7109375" style="7" customWidth="1"/>
    <col min="7" max="7" width="11" style="7" bestFit="1" customWidth="1"/>
    <col min="8" max="8" width="18.7109375" style="7" customWidth="1"/>
    <col min="9" max="9" width="6.7109375" style="7" bestFit="1" customWidth="1"/>
    <col min="10" max="10" width="18.7109375" style="7" customWidth="1"/>
    <col min="11" max="11" width="7.28515625" style="7" customWidth="1"/>
    <col min="12" max="12" width="18.7109375" style="7" customWidth="1"/>
    <col min="13" max="13" width="13.7109375" style="7" customWidth="1"/>
    <col min="14" max="14" width="9.140625" style="94"/>
    <col min="15" max="15" width="9.140625" style="19"/>
    <col min="16" max="16" width="13.5703125" style="19" bestFit="1" customWidth="1"/>
    <col min="17" max="17" width="5.140625" style="19" customWidth="1"/>
    <col min="18" max="18" width="16.5703125" style="19" bestFit="1" customWidth="1"/>
    <col min="19" max="19" width="17.42578125" style="19" customWidth="1"/>
    <col min="20" max="26" width="9.140625" style="94"/>
    <col min="27" max="16384" width="9.140625" style="6"/>
  </cols>
  <sheetData>
    <row r="1" spans="1:26" x14ac:dyDescent="0.2">
      <c r="A1" s="5" t="s">
        <v>277</v>
      </c>
      <c r="N1" s="13"/>
      <c r="O1" s="14"/>
      <c r="P1" s="14"/>
      <c r="Q1" s="14"/>
      <c r="R1" s="14"/>
      <c r="S1" s="14"/>
      <c r="T1" s="13"/>
      <c r="U1" s="13"/>
      <c r="V1" s="13"/>
      <c r="W1" s="13"/>
      <c r="X1" s="13"/>
      <c r="Y1" s="13"/>
      <c r="Z1" s="13"/>
    </row>
    <row r="2" spans="1:26" ht="13.5" customHeight="1" x14ac:dyDescent="0.2">
      <c r="A2" s="5" t="s">
        <v>619</v>
      </c>
      <c r="N2" s="13"/>
      <c r="O2" s="14"/>
      <c r="P2" s="14"/>
      <c r="Q2" s="14"/>
      <c r="R2" s="14"/>
      <c r="S2" s="14"/>
      <c r="T2" s="13"/>
      <c r="U2" s="13"/>
      <c r="V2" s="13"/>
      <c r="W2" s="13"/>
      <c r="X2" s="13"/>
      <c r="Y2" s="13"/>
      <c r="Z2" s="13"/>
    </row>
    <row r="3" spans="1:26" ht="13.5" customHeight="1" x14ac:dyDescent="0.2">
      <c r="A3" s="250" t="s">
        <v>655</v>
      </c>
      <c r="B3" s="164"/>
      <c r="C3" s="8"/>
      <c r="D3" s="84"/>
      <c r="E3" s="8"/>
      <c r="F3" s="8"/>
      <c r="G3" s="8"/>
      <c r="H3" s="8"/>
      <c r="I3" s="8"/>
      <c r="J3" s="8"/>
      <c r="K3" s="8"/>
      <c r="L3" s="8"/>
      <c r="M3" s="8"/>
      <c r="N3" s="13"/>
      <c r="O3" s="14"/>
      <c r="P3" s="14"/>
      <c r="Q3" s="14"/>
      <c r="R3" s="14"/>
      <c r="S3" s="14"/>
      <c r="T3" s="13"/>
      <c r="U3" s="13"/>
      <c r="V3" s="13"/>
      <c r="W3" s="13"/>
      <c r="X3" s="13"/>
      <c r="Y3" s="13"/>
      <c r="Z3" s="13"/>
    </row>
    <row r="4" spans="1:26" ht="6.75" customHeight="1" thickBot="1" x14ac:dyDescent="0.25">
      <c r="A4" s="165"/>
      <c r="C4" s="8"/>
      <c r="D4" s="84"/>
      <c r="E4" s="8"/>
      <c r="F4" s="8"/>
      <c r="G4" s="8"/>
      <c r="H4" s="8"/>
      <c r="I4" s="8"/>
      <c r="J4" s="8"/>
      <c r="K4" s="8"/>
      <c r="L4" s="8"/>
      <c r="M4" s="8"/>
      <c r="N4" s="13"/>
      <c r="O4" s="14"/>
      <c r="P4" s="14"/>
      <c r="Q4" s="14"/>
      <c r="R4" s="14"/>
      <c r="S4" s="14"/>
      <c r="T4" s="13"/>
      <c r="U4" s="13"/>
      <c r="V4" s="13"/>
      <c r="W4" s="13"/>
      <c r="X4" s="13"/>
      <c r="Y4" s="13"/>
      <c r="Z4" s="13"/>
    </row>
    <row r="5" spans="1:26" x14ac:dyDescent="0.2">
      <c r="A5" s="166"/>
      <c r="B5" s="167"/>
      <c r="C5" s="222" t="s">
        <v>138</v>
      </c>
      <c r="D5" s="168"/>
      <c r="E5" s="222"/>
      <c r="F5" s="222"/>
      <c r="G5" s="222"/>
      <c r="H5" s="310"/>
      <c r="I5" s="310"/>
      <c r="J5" s="222"/>
      <c r="K5" s="222"/>
      <c r="L5" s="222"/>
      <c r="M5" s="169"/>
      <c r="N5" s="13"/>
      <c r="O5" s="14"/>
      <c r="P5" s="14"/>
      <c r="Q5" s="14"/>
      <c r="R5" s="14"/>
      <c r="S5" s="14"/>
      <c r="T5" s="13"/>
      <c r="U5" s="13"/>
      <c r="V5" s="13"/>
      <c r="W5" s="13"/>
      <c r="X5" s="13"/>
      <c r="Y5" s="13"/>
      <c r="Z5" s="13"/>
    </row>
    <row r="6" spans="1:26" x14ac:dyDescent="0.2">
      <c r="A6" s="170"/>
      <c r="B6" s="93"/>
      <c r="C6" s="171" t="s">
        <v>139</v>
      </c>
      <c r="D6" s="172"/>
      <c r="E6" s="173"/>
      <c r="F6" s="251"/>
      <c r="G6" s="252"/>
      <c r="H6" s="306" t="s">
        <v>140</v>
      </c>
      <c r="I6" s="307"/>
      <c r="J6" s="174"/>
      <c r="K6" s="174"/>
      <c r="L6" s="175"/>
      <c r="M6" s="176"/>
      <c r="N6" s="13"/>
      <c r="O6" s="14"/>
      <c r="P6" s="14"/>
      <c r="Q6" s="14"/>
      <c r="R6" s="14"/>
      <c r="S6" s="14"/>
      <c r="T6" s="13"/>
      <c r="U6" s="13"/>
      <c r="V6" s="13"/>
      <c r="W6" s="13"/>
      <c r="X6" s="13"/>
      <c r="Y6" s="13"/>
      <c r="Z6" s="13"/>
    </row>
    <row r="7" spans="1:26" ht="13.5" customHeight="1" x14ac:dyDescent="0.2">
      <c r="A7" s="170"/>
      <c r="B7" s="93"/>
      <c r="C7" s="171" t="s">
        <v>141</v>
      </c>
      <c r="D7" s="308" t="s">
        <v>644</v>
      </c>
      <c r="E7" s="309"/>
      <c r="F7" s="311" t="s">
        <v>142</v>
      </c>
      <c r="G7" s="312"/>
      <c r="H7" s="313" t="s">
        <v>645</v>
      </c>
      <c r="I7" s="314"/>
      <c r="J7" s="308" t="s">
        <v>439</v>
      </c>
      <c r="K7" s="309"/>
      <c r="L7" s="304" t="s">
        <v>143</v>
      </c>
      <c r="M7" s="305"/>
      <c r="N7" s="13"/>
      <c r="O7" s="14"/>
      <c r="P7" s="14"/>
      <c r="Q7" s="14"/>
      <c r="R7" s="14"/>
      <c r="S7" s="14"/>
      <c r="T7" s="13"/>
      <c r="U7" s="13"/>
      <c r="V7" s="13"/>
      <c r="W7" s="13"/>
      <c r="X7" s="13"/>
      <c r="Y7" s="13"/>
      <c r="Z7" s="13"/>
    </row>
    <row r="8" spans="1:26" x14ac:dyDescent="0.2">
      <c r="A8" s="170"/>
      <c r="B8" s="93"/>
      <c r="C8" s="171" t="s">
        <v>144</v>
      </c>
      <c r="D8" s="177"/>
      <c r="E8" s="178" t="s">
        <v>145</v>
      </c>
      <c r="F8" s="179"/>
      <c r="G8" s="178" t="s">
        <v>145</v>
      </c>
      <c r="H8" s="171"/>
      <c r="I8" s="178" t="s">
        <v>145</v>
      </c>
      <c r="J8" s="179"/>
      <c r="K8" s="178" t="s">
        <v>145</v>
      </c>
      <c r="L8" s="179" t="s">
        <v>146</v>
      </c>
      <c r="M8" s="180" t="s">
        <v>147</v>
      </c>
      <c r="N8" s="13"/>
      <c r="O8" s="14"/>
      <c r="P8" s="14"/>
      <c r="Q8" s="14"/>
      <c r="R8" s="14"/>
      <c r="S8" s="14"/>
      <c r="T8" s="13"/>
      <c r="U8" s="13"/>
      <c r="V8" s="13"/>
      <c r="W8" s="13"/>
      <c r="X8" s="13"/>
      <c r="Y8" s="13"/>
      <c r="Z8" s="13"/>
    </row>
    <row r="9" spans="1:26" ht="17.25" customHeight="1" x14ac:dyDescent="0.2">
      <c r="A9" s="285">
        <f>'Fiscal Year 2018 Worksheet'!A5</f>
        <v>0</v>
      </c>
      <c r="B9" s="286" t="s">
        <v>281</v>
      </c>
      <c r="C9" s="287" t="s">
        <v>584</v>
      </c>
      <c r="D9" s="288" t="s">
        <v>148</v>
      </c>
      <c r="E9" s="289" t="s">
        <v>149</v>
      </c>
      <c r="F9" s="290" t="s">
        <v>148</v>
      </c>
      <c r="G9" s="289" t="s">
        <v>149</v>
      </c>
      <c r="H9" s="291" t="s">
        <v>148</v>
      </c>
      <c r="I9" s="289" t="s">
        <v>149</v>
      </c>
      <c r="J9" s="290" t="s">
        <v>148</v>
      </c>
      <c r="K9" s="289" t="s">
        <v>149</v>
      </c>
      <c r="L9" s="292" t="s">
        <v>587</v>
      </c>
      <c r="M9" s="293" t="s">
        <v>586</v>
      </c>
      <c r="N9" s="13"/>
      <c r="O9" s="14"/>
      <c r="P9" s="14"/>
      <c r="Q9" s="14"/>
      <c r="R9" s="14"/>
      <c r="S9" s="14"/>
      <c r="T9" s="13"/>
      <c r="U9" s="13"/>
      <c r="V9" s="13"/>
      <c r="W9" s="13"/>
      <c r="X9" s="13"/>
      <c r="Y9" s="13"/>
      <c r="Z9" s="13"/>
    </row>
    <row r="10" spans="1:26" x14ac:dyDescent="0.2">
      <c r="A10" s="294"/>
      <c r="B10" s="295" t="s">
        <v>150</v>
      </c>
      <c r="C10" s="296"/>
      <c r="D10" s="297"/>
      <c r="E10" s="297"/>
      <c r="F10" s="297"/>
      <c r="G10" s="297"/>
      <c r="H10" s="297"/>
      <c r="I10" s="297"/>
      <c r="J10" s="297"/>
      <c r="K10" s="297"/>
      <c r="L10" s="297"/>
      <c r="M10" s="298"/>
      <c r="N10" s="13"/>
      <c r="O10" s="14"/>
      <c r="P10" s="14"/>
      <c r="Q10" s="14"/>
      <c r="R10" s="14"/>
      <c r="S10" s="14"/>
      <c r="T10" s="13"/>
      <c r="U10" s="13"/>
      <c r="V10" s="13"/>
      <c r="W10" s="13"/>
      <c r="X10" s="13"/>
      <c r="Y10" s="13"/>
      <c r="Z10" s="13"/>
    </row>
    <row r="11" spans="1:26" s="220" customFormat="1" x14ac:dyDescent="0.2">
      <c r="A11" s="189">
        <v>1</v>
      </c>
      <c r="B11" s="186" t="s">
        <v>278</v>
      </c>
      <c r="C11" s="225">
        <v>5180.32</v>
      </c>
      <c r="D11" s="224">
        <v>18507408.220000014</v>
      </c>
      <c r="E11" s="184">
        <v>3573</v>
      </c>
      <c r="F11" s="226">
        <v>31758494.84</v>
      </c>
      <c r="G11" s="184">
        <v>6131</v>
      </c>
      <c r="H11" s="184">
        <v>5013846.8</v>
      </c>
      <c r="I11" s="184">
        <v>968</v>
      </c>
      <c r="J11" s="184">
        <v>6074042.8499999996</v>
      </c>
      <c r="K11" s="184">
        <v>1173</v>
      </c>
      <c r="L11" s="226">
        <v>61353792.710000016</v>
      </c>
      <c r="M11" s="192">
        <v>11844</v>
      </c>
      <c r="N11" s="99"/>
      <c r="O11" s="183"/>
      <c r="P11" s="14"/>
      <c r="Q11" s="14"/>
      <c r="R11" s="14"/>
      <c r="S11" s="14"/>
      <c r="T11" s="13"/>
      <c r="U11" s="13"/>
      <c r="V11" s="13"/>
      <c r="W11" s="13"/>
      <c r="X11" s="13"/>
      <c r="Y11" s="13"/>
      <c r="Z11" s="13"/>
    </row>
    <row r="12" spans="1:26" x14ac:dyDescent="0.2">
      <c r="A12" s="189">
        <v>2</v>
      </c>
      <c r="B12" s="186" t="s">
        <v>151</v>
      </c>
      <c r="C12" s="225">
        <v>13884.390000000001</v>
      </c>
      <c r="D12" s="224">
        <v>145381323.34999999</v>
      </c>
      <c r="E12" s="201">
        <v>10471</v>
      </c>
      <c r="F12" s="201">
        <v>33225593.370000005</v>
      </c>
      <c r="G12" s="201">
        <v>2393</v>
      </c>
      <c r="H12" s="201">
        <v>15461830.98</v>
      </c>
      <c r="I12" s="201">
        <v>1114</v>
      </c>
      <c r="J12" s="201">
        <v>9247639.3000000007</v>
      </c>
      <c r="K12" s="201">
        <v>666</v>
      </c>
      <c r="L12" s="201">
        <v>203316387</v>
      </c>
      <c r="M12" s="188">
        <v>14644</v>
      </c>
      <c r="N12" s="99"/>
      <c r="O12" s="183"/>
      <c r="P12" s="14"/>
      <c r="Q12" s="14"/>
      <c r="R12" s="14"/>
      <c r="S12" s="14"/>
      <c r="T12" s="13"/>
      <c r="U12" s="13"/>
      <c r="V12" s="13"/>
      <c r="W12" s="13"/>
      <c r="X12" s="13"/>
      <c r="Y12" s="13"/>
      <c r="Z12" s="13"/>
    </row>
    <row r="13" spans="1:26" x14ac:dyDescent="0.2">
      <c r="A13" s="189">
        <v>3</v>
      </c>
      <c r="B13" s="186" t="s">
        <v>280</v>
      </c>
      <c r="C13" s="225">
        <v>2146.3599999999997</v>
      </c>
      <c r="D13" s="224">
        <v>8876464.0799999796</v>
      </c>
      <c r="E13" s="201">
        <v>4136</v>
      </c>
      <c r="F13" s="201">
        <v>12416926.209566584</v>
      </c>
      <c r="G13" s="201">
        <v>5785</v>
      </c>
      <c r="H13" s="201">
        <v>2354897.7599999998</v>
      </c>
      <c r="I13" s="201">
        <v>1097</v>
      </c>
      <c r="J13" s="201">
        <v>2005980.5499999998</v>
      </c>
      <c r="K13" s="201">
        <v>935</v>
      </c>
      <c r="L13" s="201">
        <v>25654268.599566564</v>
      </c>
      <c r="M13" s="188">
        <v>11952</v>
      </c>
      <c r="N13" s="99"/>
      <c r="O13" s="183"/>
      <c r="P13" s="14"/>
      <c r="Q13" s="14"/>
      <c r="R13" s="14"/>
      <c r="S13" s="14"/>
      <c r="T13" s="13"/>
      <c r="U13" s="13"/>
      <c r="V13" s="13"/>
      <c r="W13" s="13"/>
      <c r="X13" s="13"/>
      <c r="Y13" s="13"/>
      <c r="Z13" s="13"/>
    </row>
    <row r="14" spans="1:26" x14ac:dyDescent="0.2">
      <c r="A14" s="189">
        <v>4</v>
      </c>
      <c r="B14" s="186" t="s">
        <v>152</v>
      </c>
      <c r="C14" s="225">
        <v>1788.95</v>
      </c>
      <c r="D14" s="224">
        <v>5367499.6100000031</v>
      </c>
      <c r="E14" s="201">
        <v>3000</v>
      </c>
      <c r="F14" s="201">
        <v>9247978.4029160887</v>
      </c>
      <c r="G14" s="201">
        <v>5170</v>
      </c>
      <c r="H14" s="201">
        <v>1973579.9</v>
      </c>
      <c r="I14" s="201">
        <v>1103</v>
      </c>
      <c r="J14" s="201">
        <v>1444937.9199999997</v>
      </c>
      <c r="K14" s="201">
        <v>808</v>
      </c>
      <c r="L14" s="201">
        <v>18033995.832916092</v>
      </c>
      <c r="M14" s="188">
        <v>10081</v>
      </c>
      <c r="N14" s="99"/>
      <c r="O14" s="183"/>
      <c r="P14" s="14"/>
      <c r="Q14" s="14"/>
      <c r="R14" s="14"/>
      <c r="S14" s="14"/>
      <c r="T14" s="13"/>
      <c r="U14" s="13"/>
      <c r="V14" s="13"/>
      <c r="W14" s="13"/>
      <c r="X14" s="13"/>
      <c r="Y14" s="13"/>
      <c r="Z14" s="13"/>
    </row>
    <row r="15" spans="1:26" x14ac:dyDescent="0.2">
      <c r="A15" s="189">
        <v>5</v>
      </c>
      <c r="B15" s="186" t="s">
        <v>153</v>
      </c>
      <c r="C15" s="225">
        <v>4026.22</v>
      </c>
      <c r="D15" s="224">
        <v>15455118.280000046</v>
      </c>
      <c r="E15" s="201">
        <v>3839</v>
      </c>
      <c r="F15" s="201">
        <v>21758221.545671824</v>
      </c>
      <c r="G15" s="201">
        <v>5404</v>
      </c>
      <c r="H15" s="201">
        <v>4677503.08</v>
      </c>
      <c r="I15" s="201">
        <v>1162</v>
      </c>
      <c r="J15" s="201">
        <v>3881383.21</v>
      </c>
      <c r="K15" s="201">
        <v>964</v>
      </c>
      <c r="L15" s="201">
        <v>45772226.115671873</v>
      </c>
      <c r="M15" s="188">
        <v>11369</v>
      </c>
      <c r="N15" s="99"/>
      <c r="O15" s="183"/>
      <c r="P15" s="14"/>
      <c r="Q15" s="14"/>
      <c r="R15" s="14"/>
      <c r="S15" s="14"/>
      <c r="T15" s="13"/>
      <c r="U15" s="13"/>
      <c r="V15" s="13"/>
      <c r="W15" s="13"/>
      <c r="X15" s="13"/>
      <c r="Y15" s="13"/>
      <c r="Z15" s="13"/>
    </row>
    <row r="16" spans="1:26" x14ac:dyDescent="0.2">
      <c r="A16" s="189">
        <v>6</v>
      </c>
      <c r="B16" s="186" t="s">
        <v>154</v>
      </c>
      <c r="C16" s="225">
        <v>2250.5500000000002</v>
      </c>
      <c r="D16" s="224">
        <v>6102738.2400000356</v>
      </c>
      <c r="E16" s="201">
        <v>2712</v>
      </c>
      <c r="F16" s="201">
        <v>12369337.507809762</v>
      </c>
      <c r="G16" s="201">
        <v>5496</v>
      </c>
      <c r="H16" s="201">
        <v>2355418.7999999998</v>
      </c>
      <c r="I16" s="201">
        <v>1047</v>
      </c>
      <c r="J16" s="201">
        <v>1952580.3599999999</v>
      </c>
      <c r="K16" s="201">
        <v>868</v>
      </c>
      <c r="L16" s="201">
        <v>22780074.907809798</v>
      </c>
      <c r="M16" s="188">
        <v>10122</v>
      </c>
      <c r="N16" s="99"/>
      <c r="O16" s="183"/>
      <c r="P16" s="14"/>
      <c r="Q16" s="14"/>
      <c r="R16" s="14"/>
      <c r="S16" s="14"/>
      <c r="T16" s="13"/>
      <c r="U16" s="13"/>
      <c r="V16" s="13"/>
      <c r="W16" s="13"/>
      <c r="X16" s="13"/>
      <c r="Y16" s="13"/>
      <c r="Z16" s="13"/>
    </row>
    <row r="17" spans="1:26" x14ac:dyDescent="0.2">
      <c r="A17" s="189">
        <v>7</v>
      </c>
      <c r="B17" s="186" t="s">
        <v>155</v>
      </c>
      <c r="C17" s="225">
        <v>26988.170000000002</v>
      </c>
      <c r="D17" s="224">
        <v>464020271.32000023</v>
      </c>
      <c r="E17" s="201">
        <v>17193</v>
      </c>
      <c r="F17" s="201">
        <v>45221479.755458772</v>
      </c>
      <c r="G17" s="201">
        <v>1676</v>
      </c>
      <c r="H17" s="201">
        <v>26524284.52</v>
      </c>
      <c r="I17" s="201">
        <v>983</v>
      </c>
      <c r="J17" s="201">
        <v>16406619.59</v>
      </c>
      <c r="K17" s="201">
        <v>608</v>
      </c>
      <c r="L17" s="201">
        <v>552172655.18545902</v>
      </c>
      <c r="M17" s="188">
        <v>20460</v>
      </c>
      <c r="N17" s="99"/>
      <c r="O17" s="183"/>
      <c r="P17" s="14"/>
      <c r="Q17" s="14"/>
      <c r="R17" s="14"/>
      <c r="S17" s="14"/>
      <c r="T17" s="13"/>
      <c r="U17" s="13"/>
      <c r="V17" s="13"/>
      <c r="W17" s="13"/>
      <c r="X17" s="13"/>
      <c r="Y17" s="13"/>
      <c r="Z17" s="13"/>
    </row>
    <row r="18" spans="1:26" x14ac:dyDescent="0.2">
      <c r="A18" s="189">
        <v>8</v>
      </c>
      <c r="B18" s="186" t="s">
        <v>156</v>
      </c>
      <c r="C18" s="225">
        <v>10157.599999999999</v>
      </c>
      <c r="D18" s="224">
        <v>44181821.780000001</v>
      </c>
      <c r="E18" s="201">
        <v>4350</v>
      </c>
      <c r="F18" s="201">
        <v>46575906.832092136</v>
      </c>
      <c r="G18" s="201">
        <v>4585</v>
      </c>
      <c r="H18" s="201">
        <v>10924220.4</v>
      </c>
      <c r="I18" s="201">
        <v>1075</v>
      </c>
      <c r="J18" s="201">
        <v>9939670.7800000012</v>
      </c>
      <c r="K18" s="201">
        <v>979</v>
      </c>
      <c r="L18" s="201">
        <v>111621619.79209214</v>
      </c>
      <c r="M18" s="188">
        <v>10989</v>
      </c>
      <c r="N18" s="99"/>
      <c r="O18" s="183"/>
      <c r="P18" s="14"/>
      <c r="Q18" s="14"/>
      <c r="R18" s="14"/>
      <c r="S18" s="14"/>
      <c r="T18" s="13"/>
      <c r="U18" s="13"/>
      <c r="V18" s="13"/>
      <c r="W18" s="13"/>
      <c r="X18" s="13"/>
      <c r="Y18" s="13"/>
      <c r="Z18" s="13"/>
    </row>
    <row r="19" spans="1:26" x14ac:dyDescent="0.2">
      <c r="A19" s="189">
        <v>9</v>
      </c>
      <c r="B19" s="186" t="s">
        <v>157</v>
      </c>
      <c r="C19" s="225">
        <v>552.33999999999992</v>
      </c>
      <c r="D19" s="224">
        <v>8230389.6299999952</v>
      </c>
      <c r="E19" s="201">
        <v>14901</v>
      </c>
      <c r="F19" s="201">
        <v>1167013.8889041473</v>
      </c>
      <c r="G19" s="201">
        <v>2113</v>
      </c>
      <c r="H19" s="201">
        <v>595952.62</v>
      </c>
      <c r="I19" s="201">
        <v>1079</v>
      </c>
      <c r="J19" s="201">
        <v>889800.27</v>
      </c>
      <c r="K19" s="201">
        <v>1611</v>
      </c>
      <c r="L19" s="201">
        <v>10883156.408904143</v>
      </c>
      <c r="M19" s="188">
        <v>19704</v>
      </c>
      <c r="N19" s="99"/>
      <c r="O19" s="183"/>
      <c r="P19" s="14"/>
      <c r="Q19" s="14"/>
      <c r="R19" s="14"/>
      <c r="S19" s="14"/>
      <c r="T19" s="13"/>
      <c r="U19" s="13"/>
      <c r="V19" s="13"/>
      <c r="W19" s="13"/>
      <c r="X19" s="13"/>
      <c r="Y19" s="13"/>
      <c r="Z19" s="13"/>
    </row>
    <row r="20" spans="1:26" x14ac:dyDescent="0.2">
      <c r="A20" s="189">
        <v>10</v>
      </c>
      <c r="B20" s="186" t="s">
        <v>638</v>
      </c>
      <c r="C20" s="225">
        <v>9638.2400000000016</v>
      </c>
      <c r="D20" s="224">
        <v>38699799.370000012</v>
      </c>
      <c r="E20" s="201">
        <v>4015</v>
      </c>
      <c r="F20" s="201">
        <v>45043315.354095295</v>
      </c>
      <c r="G20" s="201">
        <v>4673</v>
      </c>
      <c r="H20" s="201">
        <v>12010028.02</v>
      </c>
      <c r="I20" s="201">
        <v>1246</v>
      </c>
      <c r="J20" s="201">
        <v>7584018.6499999994</v>
      </c>
      <c r="K20" s="201">
        <v>787</v>
      </c>
      <c r="L20" s="201">
        <v>103337161.3940953</v>
      </c>
      <c r="M20" s="188">
        <v>10722</v>
      </c>
      <c r="N20" s="99"/>
      <c r="O20" s="183"/>
      <c r="P20" s="14"/>
      <c r="Q20" s="14"/>
      <c r="R20" s="14"/>
      <c r="S20" s="14"/>
      <c r="T20" s="13"/>
      <c r="U20" s="13"/>
      <c r="V20" s="13"/>
      <c r="W20" s="13"/>
      <c r="X20" s="13"/>
      <c r="Y20" s="13"/>
      <c r="Z20" s="13"/>
    </row>
    <row r="21" spans="1:26" x14ac:dyDescent="0.2">
      <c r="A21" s="189">
        <v>11</v>
      </c>
      <c r="B21" s="186" t="s">
        <v>158</v>
      </c>
      <c r="C21" s="225">
        <v>729.22</v>
      </c>
      <c r="D21" s="224">
        <v>2608749.5600000005</v>
      </c>
      <c r="E21" s="201">
        <v>3577</v>
      </c>
      <c r="F21" s="201">
        <v>4141519.0083308425</v>
      </c>
      <c r="G21" s="201">
        <v>5679</v>
      </c>
      <c r="H21" s="201">
        <v>860403.56</v>
      </c>
      <c r="I21" s="201">
        <v>1180</v>
      </c>
      <c r="J21" s="201">
        <v>676473.56</v>
      </c>
      <c r="K21" s="201">
        <v>928</v>
      </c>
      <c r="L21" s="201">
        <v>8287145.688330844</v>
      </c>
      <c r="M21" s="188">
        <v>11364</v>
      </c>
      <c r="N21" s="99"/>
      <c r="O21" s="183"/>
      <c r="P21" s="14"/>
      <c r="Q21" s="14"/>
      <c r="R21" s="14"/>
      <c r="S21" s="14"/>
      <c r="T21" s="13"/>
      <c r="U21" s="13"/>
      <c r="V21" s="13"/>
      <c r="W21" s="13"/>
      <c r="X21" s="13"/>
      <c r="Y21" s="13"/>
      <c r="Z21" s="13"/>
    </row>
    <row r="22" spans="1:26" x14ac:dyDescent="0.2">
      <c r="A22" s="189">
        <v>12</v>
      </c>
      <c r="B22" s="186" t="s">
        <v>159</v>
      </c>
      <c r="C22" s="225">
        <v>4636.2500000000009</v>
      </c>
      <c r="D22" s="224">
        <v>25353558.269999985</v>
      </c>
      <c r="E22" s="201">
        <v>5469</v>
      </c>
      <c r="F22" s="201">
        <v>19876364.403223798</v>
      </c>
      <c r="G22" s="201">
        <v>4287</v>
      </c>
      <c r="H22" s="201">
        <v>5609880.4400000004</v>
      </c>
      <c r="I22" s="201">
        <v>1210</v>
      </c>
      <c r="J22" s="201">
        <v>2576319.9299999997</v>
      </c>
      <c r="K22" s="201">
        <v>556</v>
      </c>
      <c r="L22" s="201">
        <v>53416123.043223783</v>
      </c>
      <c r="M22" s="188">
        <v>11521</v>
      </c>
      <c r="N22" s="99"/>
      <c r="O22" s="183"/>
      <c r="P22" s="14"/>
      <c r="Q22" s="14"/>
      <c r="R22" s="14"/>
      <c r="S22" s="14"/>
      <c r="T22" s="13"/>
      <c r="U22" s="13"/>
      <c r="V22" s="13"/>
      <c r="W22" s="13"/>
      <c r="X22" s="13"/>
      <c r="Y22" s="13"/>
      <c r="Z22" s="13"/>
    </row>
    <row r="23" spans="1:26" x14ac:dyDescent="0.2">
      <c r="A23" s="189">
        <v>13</v>
      </c>
      <c r="B23" s="186" t="s">
        <v>160</v>
      </c>
      <c r="C23" s="225">
        <v>1611.15</v>
      </c>
      <c r="D23" s="224">
        <v>5620494.8200000189</v>
      </c>
      <c r="E23" s="201">
        <v>3488</v>
      </c>
      <c r="F23" s="201">
        <v>11245470.133852024</v>
      </c>
      <c r="G23" s="201">
        <v>6980</v>
      </c>
      <c r="H23" s="201">
        <v>2160480.62</v>
      </c>
      <c r="I23" s="201">
        <v>1341</v>
      </c>
      <c r="J23" s="201">
        <v>3281354.9499999997</v>
      </c>
      <c r="K23" s="201">
        <v>2037</v>
      </c>
      <c r="L23" s="201">
        <v>22307800.523852043</v>
      </c>
      <c r="M23" s="188">
        <v>13846</v>
      </c>
      <c r="N23" s="99"/>
      <c r="O23" s="183"/>
      <c r="P23" s="14"/>
      <c r="Q23" s="14"/>
      <c r="R23" s="14"/>
      <c r="S23" s="14"/>
      <c r="T23" s="13"/>
      <c r="U23" s="13"/>
      <c r="V23" s="13"/>
      <c r="W23" s="13"/>
      <c r="X23" s="13"/>
      <c r="Y23" s="13"/>
      <c r="Z23" s="13"/>
    </row>
    <row r="24" spans="1:26" x14ac:dyDescent="0.2">
      <c r="A24" s="189">
        <v>14</v>
      </c>
      <c r="B24" s="186" t="s">
        <v>161</v>
      </c>
      <c r="C24" s="225">
        <v>2824.6099999999997</v>
      </c>
      <c r="D24" s="224">
        <v>8395373.1899999976</v>
      </c>
      <c r="E24" s="201">
        <v>2972</v>
      </c>
      <c r="F24" s="201">
        <v>16456086.716666821</v>
      </c>
      <c r="G24" s="201">
        <v>5826</v>
      </c>
      <c r="H24" s="201">
        <v>3186177.48</v>
      </c>
      <c r="I24" s="201">
        <v>1128</v>
      </c>
      <c r="J24" s="201">
        <v>4220964.0600000005</v>
      </c>
      <c r="K24" s="201">
        <v>1494</v>
      </c>
      <c r="L24" s="201">
        <v>32258601.446666822</v>
      </c>
      <c r="M24" s="188">
        <v>11421</v>
      </c>
      <c r="N24" s="99"/>
      <c r="O24" s="183"/>
      <c r="P24" s="14"/>
      <c r="Q24" s="14"/>
      <c r="R24" s="14"/>
      <c r="S24" s="14"/>
      <c r="T24" s="13"/>
      <c r="U24" s="13"/>
      <c r="V24" s="13"/>
      <c r="W24" s="13"/>
      <c r="X24" s="13"/>
      <c r="Y24" s="13"/>
      <c r="Z24" s="13"/>
    </row>
    <row r="25" spans="1:26" x14ac:dyDescent="0.2">
      <c r="A25" s="189">
        <v>15</v>
      </c>
      <c r="B25" s="186" t="s">
        <v>162</v>
      </c>
      <c r="C25" s="225">
        <v>2064.79</v>
      </c>
      <c r="D25" s="224">
        <v>6784002.4499999862</v>
      </c>
      <c r="E25" s="201">
        <v>3286</v>
      </c>
      <c r="F25" s="201">
        <v>11492069.536050601</v>
      </c>
      <c r="G25" s="201">
        <v>5566</v>
      </c>
      <c r="H25" s="201">
        <v>2199679.7200000002</v>
      </c>
      <c r="I25" s="201">
        <v>1065</v>
      </c>
      <c r="J25" s="201">
        <v>2931479.3800000004</v>
      </c>
      <c r="K25" s="201">
        <v>1420</v>
      </c>
      <c r="L25" s="201">
        <v>23407231.086050589</v>
      </c>
      <c r="M25" s="188">
        <v>11336</v>
      </c>
      <c r="N25" s="99"/>
      <c r="O25" s="183"/>
      <c r="P25" s="14"/>
      <c r="Q25" s="14"/>
      <c r="R25" s="14"/>
      <c r="S25" s="14"/>
      <c r="T25" s="13"/>
      <c r="U25" s="13"/>
      <c r="V25" s="13"/>
      <c r="W25" s="13"/>
      <c r="X25" s="13"/>
      <c r="Y25" s="13"/>
      <c r="Z25" s="13"/>
    </row>
    <row r="26" spans="1:26" x14ac:dyDescent="0.2">
      <c r="A26" s="189">
        <v>16</v>
      </c>
      <c r="B26" s="186" t="s">
        <v>163</v>
      </c>
      <c r="C26" s="225">
        <v>7872.079999999999</v>
      </c>
      <c r="D26" s="224">
        <v>27889723.460000046</v>
      </c>
      <c r="E26" s="201">
        <v>3543</v>
      </c>
      <c r="F26" s="201">
        <v>38020636.90483062</v>
      </c>
      <c r="G26" s="201">
        <v>4830</v>
      </c>
      <c r="H26" s="201">
        <v>8302517.8799999999</v>
      </c>
      <c r="I26" s="201">
        <v>1055</v>
      </c>
      <c r="J26" s="201">
        <v>5893724.0799999991</v>
      </c>
      <c r="K26" s="201">
        <v>749</v>
      </c>
      <c r="L26" s="201">
        <v>80106602.324830666</v>
      </c>
      <c r="M26" s="188">
        <v>10176</v>
      </c>
      <c r="N26" s="99"/>
      <c r="O26" s="183"/>
      <c r="P26" s="14"/>
      <c r="Q26" s="14"/>
      <c r="R26" s="14"/>
      <c r="S26" s="14"/>
      <c r="T26" s="13"/>
      <c r="U26" s="13"/>
      <c r="V26" s="13"/>
      <c r="W26" s="13"/>
      <c r="X26" s="13"/>
      <c r="Y26" s="13"/>
      <c r="Z26" s="13"/>
    </row>
    <row r="27" spans="1:26" x14ac:dyDescent="0.2">
      <c r="A27" s="189">
        <v>17</v>
      </c>
      <c r="B27" s="186" t="s">
        <v>164</v>
      </c>
      <c r="C27" s="225">
        <v>4242.9399999999996</v>
      </c>
      <c r="D27" s="224">
        <v>16013228.729999989</v>
      </c>
      <c r="E27" s="201">
        <v>3774</v>
      </c>
      <c r="F27" s="201">
        <v>20436098.696248692</v>
      </c>
      <c r="G27" s="201">
        <v>4816</v>
      </c>
      <c r="H27" s="201">
        <v>4767006.9800000004</v>
      </c>
      <c r="I27" s="201">
        <v>1124</v>
      </c>
      <c r="J27" s="201">
        <v>3576767.4600000004</v>
      </c>
      <c r="K27" s="201">
        <v>843</v>
      </c>
      <c r="L27" s="201">
        <v>44793101.866248682</v>
      </c>
      <c r="M27" s="188">
        <v>10557</v>
      </c>
      <c r="N27" s="99"/>
      <c r="O27" s="183"/>
      <c r="P27" s="14"/>
      <c r="Q27" s="14"/>
      <c r="R27" s="14"/>
      <c r="S27" s="14"/>
      <c r="T27" s="13"/>
      <c r="U27" s="13"/>
      <c r="V27" s="13"/>
      <c r="W27" s="13"/>
      <c r="X27" s="13"/>
      <c r="Y27" s="13"/>
      <c r="Z27" s="13"/>
    </row>
    <row r="28" spans="1:26" x14ac:dyDescent="0.2">
      <c r="A28" s="189">
        <v>18</v>
      </c>
      <c r="B28" s="186" t="s">
        <v>165</v>
      </c>
      <c r="C28" s="225">
        <v>3759.0399999999995</v>
      </c>
      <c r="D28" s="224">
        <v>13283230.110000014</v>
      </c>
      <c r="E28" s="201">
        <v>3534</v>
      </c>
      <c r="F28" s="201">
        <v>21207645.954018865</v>
      </c>
      <c r="G28" s="201">
        <v>5642</v>
      </c>
      <c r="H28" s="201">
        <v>4467089.68</v>
      </c>
      <c r="I28" s="201">
        <v>1188</v>
      </c>
      <c r="J28" s="201">
        <v>4652070.9899999993</v>
      </c>
      <c r="K28" s="201">
        <v>1238</v>
      </c>
      <c r="L28" s="201">
        <v>43610036.734018877</v>
      </c>
      <c r="M28" s="188">
        <v>11601</v>
      </c>
      <c r="N28" s="99"/>
      <c r="O28" s="183"/>
      <c r="P28" s="14"/>
      <c r="Q28" s="14"/>
      <c r="R28" s="14"/>
      <c r="S28" s="14"/>
      <c r="T28" s="13"/>
      <c r="U28" s="13"/>
      <c r="V28" s="13"/>
      <c r="W28" s="13"/>
      <c r="X28" s="13"/>
      <c r="Y28" s="13"/>
      <c r="Z28" s="13"/>
    </row>
    <row r="29" spans="1:26" x14ac:dyDescent="0.2">
      <c r="A29" s="189">
        <v>19</v>
      </c>
      <c r="B29" s="186" t="s">
        <v>166</v>
      </c>
      <c r="C29" s="225">
        <v>640.89</v>
      </c>
      <c r="D29" s="224">
        <v>5529596.1400000006</v>
      </c>
      <c r="E29" s="201">
        <v>8628</v>
      </c>
      <c r="F29" s="201">
        <v>2937800.060475633</v>
      </c>
      <c r="G29" s="201">
        <v>4584</v>
      </c>
      <c r="H29" s="201">
        <v>881942.32</v>
      </c>
      <c r="I29" s="201">
        <v>1376</v>
      </c>
      <c r="J29" s="201">
        <v>841751.07000000018</v>
      </c>
      <c r="K29" s="201">
        <v>1313</v>
      </c>
      <c r="L29" s="201">
        <v>10191089.590475634</v>
      </c>
      <c r="M29" s="188">
        <v>15901</v>
      </c>
      <c r="N29" s="99"/>
      <c r="O29" s="183"/>
      <c r="P29" s="14"/>
      <c r="Q29" s="14"/>
      <c r="R29" s="14"/>
      <c r="S29" s="14"/>
      <c r="T29" s="13"/>
      <c r="U29" s="13"/>
      <c r="V29" s="13"/>
      <c r="W29" s="13"/>
      <c r="X29" s="13"/>
      <c r="Y29" s="13"/>
      <c r="Z29" s="13"/>
    </row>
    <row r="30" spans="1:26" x14ac:dyDescent="0.2">
      <c r="A30" s="189">
        <v>20</v>
      </c>
      <c r="B30" s="186" t="s">
        <v>167</v>
      </c>
      <c r="C30" s="225">
        <v>1871.09</v>
      </c>
      <c r="D30" s="224">
        <v>3636019.5800000094</v>
      </c>
      <c r="E30" s="201">
        <v>1943</v>
      </c>
      <c r="F30" s="201">
        <v>16170146.062992336</v>
      </c>
      <c r="G30" s="201">
        <v>8642</v>
      </c>
      <c r="H30" s="201">
        <v>2059784</v>
      </c>
      <c r="I30" s="201">
        <v>1101</v>
      </c>
      <c r="J30" s="201">
        <v>2060900.38</v>
      </c>
      <c r="K30" s="201">
        <v>1101</v>
      </c>
      <c r="L30" s="201">
        <v>23926850.022992343</v>
      </c>
      <c r="M30" s="188">
        <v>12788</v>
      </c>
      <c r="N30" s="99"/>
      <c r="O30" s="183"/>
      <c r="P30" s="14"/>
      <c r="Q30" s="14"/>
      <c r="R30" s="14"/>
      <c r="S30" s="14"/>
      <c r="T30" s="13"/>
      <c r="U30" s="13"/>
      <c r="V30" s="13"/>
      <c r="W30" s="13"/>
      <c r="X30" s="13"/>
      <c r="Y30" s="13"/>
      <c r="Z30" s="13"/>
    </row>
    <row r="31" spans="1:26" x14ac:dyDescent="0.2">
      <c r="A31" s="189">
        <v>21</v>
      </c>
      <c r="B31" s="186" t="s">
        <v>168</v>
      </c>
      <c r="C31" s="225">
        <v>60871.389999999992</v>
      </c>
      <c r="D31" s="224">
        <v>246825477.4100005</v>
      </c>
      <c r="E31" s="201">
        <v>4055</v>
      </c>
      <c r="F31" s="201">
        <v>271328522.07213998</v>
      </c>
      <c r="G31" s="201">
        <v>4457</v>
      </c>
      <c r="H31" s="201">
        <v>63621477.5</v>
      </c>
      <c r="I31" s="201">
        <v>1045</v>
      </c>
      <c r="J31" s="201">
        <v>40182643.729999982</v>
      </c>
      <c r="K31" s="201">
        <v>660</v>
      </c>
      <c r="L31" s="201">
        <v>621958120.71214044</v>
      </c>
      <c r="M31" s="188">
        <v>10218</v>
      </c>
      <c r="N31" s="99"/>
      <c r="O31" s="183"/>
      <c r="P31" s="14"/>
      <c r="Q31" s="14"/>
      <c r="R31" s="14"/>
      <c r="S31" s="14"/>
      <c r="T31" s="13"/>
      <c r="U31" s="13"/>
      <c r="V31" s="13"/>
      <c r="W31" s="13"/>
      <c r="X31" s="13"/>
      <c r="Y31" s="13"/>
      <c r="Z31" s="13"/>
    </row>
    <row r="32" spans="1:26" x14ac:dyDescent="0.2">
      <c r="A32" s="189">
        <v>22</v>
      </c>
      <c r="B32" s="186" t="s">
        <v>169</v>
      </c>
      <c r="C32" s="225">
        <v>1977</v>
      </c>
      <c r="D32" s="224">
        <v>13757875.179999981</v>
      </c>
      <c r="E32" s="201">
        <v>6959</v>
      </c>
      <c r="F32" s="201">
        <v>6783701.6722898344</v>
      </c>
      <c r="G32" s="201">
        <v>3431</v>
      </c>
      <c r="H32" s="201">
        <v>2224028</v>
      </c>
      <c r="I32" s="201">
        <v>1125</v>
      </c>
      <c r="J32" s="201">
        <v>1024985.8799999999</v>
      </c>
      <c r="K32" s="201">
        <v>518</v>
      </c>
      <c r="L32" s="201">
        <v>23790590.732289813</v>
      </c>
      <c r="M32" s="188">
        <v>12034</v>
      </c>
      <c r="N32" s="99"/>
      <c r="O32" s="183"/>
      <c r="P32" s="14"/>
      <c r="Q32" s="14"/>
      <c r="R32" s="14"/>
      <c r="S32" s="14"/>
      <c r="T32" s="13"/>
      <c r="U32" s="13"/>
      <c r="V32" s="13"/>
      <c r="W32" s="13"/>
      <c r="X32" s="13"/>
      <c r="Y32" s="13"/>
      <c r="Z32" s="13"/>
    </row>
    <row r="33" spans="1:26" x14ac:dyDescent="0.2">
      <c r="A33" s="189">
        <v>23</v>
      </c>
      <c r="B33" s="186" t="s">
        <v>170</v>
      </c>
      <c r="C33" s="225">
        <v>599.51</v>
      </c>
      <c r="D33" s="224">
        <v>1986694.0399999982</v>
      </c>
      <c r="E33" s="201">
        <v>3314</v>
      </c>
      <c r="F33" s="201">
        <v>3607626.5350081022</v>
      </c>
      <c r="G33" s="201">
        <v>6018</v>
      </c>
      <c r="H33" s="201">
        <v>789105.62</v>
      </c>
      <c r="I33" s="201">
        <v>1316</v>
      </c>
      <c r="J33" s="201">
        <v>641922.58999999985</v>
      </c>
      <c r="K33" s="201">
        <v>1071</v>
      </c>
      <c r="L33" s="201">
        <v>7025348.7850080999</v>
      </c>
      <c r="M33" s="188">
        <v>11718</v>
      </c>
      <c r="N33" s="99"/>
      <c r="O33" s="183"/>
      <c r="P33" s="14"/>
      <c r="Q33" s="14"/>
      <c r="R33" s="14"/>
      <c r="S33" s="14"/>
      <c r="T33" s="13"/>
      <c r="U33" s="13"/>
      <c r="V33" s="13"/>
      <c r="W33" s="13"/>
      <c r="X33" s="13"/>
      <c r="Y33" s="13"/>
      <c r="Z33" s="13"/>
    </row>
    <row r="34" spans="1:26" x14ac:dyDescent="0.2">
      <c r="A34" s="189">
        <v>24</v>
      </c>
      <c r="B34" s="186" t="s">
        <v>171</v>
      </c>
      <c r="C34" s="225">
        <v>8145.4699999999993</v>
      </c>
      <c r="D34" s="224">
        <v>32672281.660000011</v>
      </c>
      <c r="E34" s="201">
        <v>4011</v>
      </c>
      <c r="F34" s="201">
        <v>37481886.26000566</v>
      </c>
      <c r="G34" s="201">
        <v>4602</v>
      </c>
      <c r="H34" s="201">
        <v>9263576.1400000006</v>
      </c>
      <c r="I34" s="201">
        <v>1137</v>
      </c>
      <c r="J34" s="201">
        <v>5880103.3700000001</v>
      </c>
      <c r="K34" s="201">
        <v>722</v>
      </c>
      <c r="L34" s="201">
        <v>85297847.43000567</v>
      </c>
      <c r="M34" s="188">
        <v>10472</v>
      </c>
      <c r="N34" s="99"/>
      <c r="O34" s="183"/>
      <c r="P34" s="14"/>
      <c r="Q34" s="14"/>
      <c r="R34" s="14"/>
      <c r="S34" s="14"/>
      <c r="T34" s="13"/>
      <c r="U34" s="13"/>
      <c r="V34" s="13"/>
      <c r="W34" s="13"/>
      <c r="X34" s="13"/>
      <c r="Y34" s="13"/>
      <c r="Z34" s="13"/>
    </row>
    <row r="35" spans="1:26" x14ac:dyDescent="0.2">
      <c r="A35" s="189">
        <v>25</v>
      </c>
      <c r="B35" s="186" t="s">
        <v>172</v>
      </c>
      <c r="C35" s="225">
        <v>1324.9</v>
      </c>
      <c r="D35" s="224">
        <v>3620108.140000008</v>
      </c>
      <c r="E35" s="201">
        <v>2732</v>
      </c>
      <c r="F35" s="201">
        <v>8396600.953381557</v>
      </c>
      <c r="G35" s="201">
        <v>6338</v>
      </c>
      <c r="H35" s="201">
        <v>1569189.4</v>
      </c>
      <c r="I35" s="201">
        <v>1184</v>
      </c>
      <c r="J35" s="201">
        <v>1668040.5400000003</v>
      </c>
      <c r="K35" s="201">
        <v>1259</v>
      </c>
      <c r="L35" s="201">
        <v>15253939.033381566</v>
      </c>
      <c r="M35" s="188">
        <v>11513</v>
      </c>
      <c r="N35" s="99"/>
      <c r="O35" s="183"/>
      <c r="P35" s="14"/>
      <c r="Q35" s="14"/>
      <c r="R35" s="14"/>
      <c r="S35" s="14"/>
      <c r="T35" s="13"/>
      <c r="U35" s="13"/>
      <c r="V35" s="13"/>
      <c r="W35" s="13"/>
      <c r="X35" s="13"/>
      <c r="Y35" s="13"/>
      <c r="Z35" s="13"/>
    </row>
    <row r="36" spans="1:26" x14ac:dyDescent="0.2">
      <c r="A36" s="189">
        <v>26</v>
      </c>
      <c r="B36" s="186" t="s">
        <v>173</v>
      </c>
      <c r="C36" s="225">
        <v>2110.9300000000003</v>
      </c>
      <c r="D36" s="224">
        <v>6613498.3500000015</v>
      </c>
      <c r="E36" s="201">
        <v>3133</v>
      </c>
      <c r="F36" s="201">
        <v>12407797.788604409</v>
      </c>
      <c r="G36" s="201">
        <v>5878</v>
      </c>
      <c r="H36" s="201">
        <v>2370656.4</v>
      </c>
      <c r="I36" s="201">
        <v>1123</v>
      </c>
      <c r="J36" s="201">
        <v>2592257.71</v>
      </c>
      <c r="K36" s="201">
        <v>1228</v>
      </c>
      <c r="L36" s="201">
        <v>23984210.248604409</v>
      </c>
      <c r="M36" s="188">
        <v>11362</v>
      </c>
      <c r="N36" s="99"/>
      <c r="O36" s="183"/>
      <c r="P36" s="14"/>
      <c r="Q36" s="14"/>
      <c r="R36" s="14"/>
      <c r="S36" s="14"/>
      <c r="T36" s="13"/>
      <c r="U36" s="13"/>
      <c r="V36" s="13"/>
      <c r="W36" s="13"/>
      <c r="X36" s="13"/>
      <c r="Y36" s="13"/>
      <c r="Z36" s="13"/>
    </row>
    <row r="37" spans="1:26" x14ac:dyDescent="0.2">
      <c r="A37" s="189">
        <v>27</v>
      </c>
      <c r="B37" s="186" t="s">
        <v>174</v>
      </c>
      <c r="C37" s="225">
        <v>4316.88</v>
      </c>
      <c r="D37" s="224">
        <v>15303818.060000017</v>
      </c>
      <c r="E37" s="201">
        <v>3545</v>
      </c>
      <c r="F37" s="201">
        <v>23763032.40857137</v>
      </c>
      <c r="G37" s="201">
        <v>5505</v>
      </c>
      <c r="H37" s="201">
        <v>4353114.88</v>
      </c>
      <c r="I37" s="201">
        <v>1008</v>
      </c>
      <c r="J37" s="201">
        <v>3353731.6300000004</v>
      </c>
      <c r="K37" s="201">
        <v>777</v>
      </c>
      <c r="L37" s="201">
        <v>46773696.978571385</v>
      </c>
      <c r="M37" s="188">
        <v>10835</v>
      </c>
      <c r="N37" s="99"/>
      <c r="O37" s="183"/>
      <c r="P37" s="14"/>
      <c r="Q37" s="14"/>
      <c r="R37" s="14"/>
      <c r="S37" s="14"/>
      <c r="T37" s="13"/>
      <c r="U37" s="13"/>
      <c r="V37" s="13"/>
      <c r="W37" s="13"/>
      <c r="X37" s="13"/>
      <c r="Y37" s="13"/>
      <c r="Z37" s="13"/>
    </row>
    <row r="38" spans="1:26" x14ac:dyDescent="0.2">
      <c r="A38" s="189">
        <v>28</v>
      </c>
      <c r="B38" s="186" t="s">
        <v>175</v>
      </c>
      <c r="C38" s="225">
        <v>1370.0500000000002</v>
      </c>
      <c r="D38" s="224">
        <v>8404037.9300000034</v>
      </c>
      <c r="E38" s="201">
        <v>6134</v>
      </c>
      <c r="F38" s="201">
        <v>6705998.4718790511</v>
      </c>
      <c r="G38" s="201">
        <v>4895</v>
      </c>
      <c r="H38" s="201">
        <v>1591586.96</v>
      </c>
      <c r="I38" s="201">
        <v>1162</v>
      </c>
      <c r="J38" s="201">
        <v>1601347.59</v>
      </c>
      <c r="K38" s="201">
        <v>1169</v>
      </c>
      <c r="L38" s="201">
        <v>18302970.951879054</v>
      </c>
      <c r="M38" s="188">
        <v>13359</v>
      </c>
      <c r="N38" s="99"/>
      <c r="O38" s="183"/>
      <c r="P38" s="14"/>
      <c r="Q38" s="14"/>
      <c r="R38" s="14"/>
      <c r="S38" s="14"/>
      <c r="T38" s="13"/>
      <c r="U38" s="13"/>
      <c r="V38" s="13"/>
      <c r="W38" s="13"/>
      <c r="X38" s="13"/>
      <c r="Y38" s="13"/>
      <c r="Z38" s="13"/>
    </row>
    <row r="39" spans="1:26" ht="13.5" x14ac:dyDescent="0.2">
      <c r="A39" s="189">
        <v>29</v>
      </c>
      <c r="B39" s="186" t="s">
        <v>651</v>
      </c>
      <c r="C39" s="225">
        <v>187691.06000000003</v>
      </c>
      <c r="D39" s="224">
        <v>2098916608.4500027</v>
      </c>
      <c r="E39" s="201">
        <v>11183</v>
      </c>
      <c r="F39" s="201">
        <v>457478172.13168252</v>
      </c>
      <c r="G39" s="201">
        <v>2437</v>
      </c>
      <c r="H39" s="201">
        <v>201880750.93000001</v>
      </c>
      <c r="I39" s="201">
        <v>1076</v>
      </c>
      <c r="J39" s="201">
        <v>124171079.84</v>
      </c>
      <c r="K39" s="201">
        <v>662</v>
      </c>
      <c r="L39" s="201">
        <v>2882446611.351685</v>
      </c>
      <c r="M39" s="188">
        <v>15357</v>
      </c>
      <c r="N39" s="99"/>
      <c r="O39" s="183"/>
      <c r="P39" s="14"/>
      <c r="Q39" s="14"/>
      <c r="R39" s="14"/>
      <c r="S39" s="14"/>
      <c r="T39" s="13"/>
      <c r="U39" s="13"/>
      <c r="V39" s="13"/>
      <c r="W39" s="13"/>
      <c r="X39" s="13"/>
      <c r="Y39" s="13"/>
      <c r="Z39" s="13"/>
    </row>
    <row r="40" spans="1:26" x14ac:dyDescent="0.2">
      <c r="A40" s="189">
        <v>30</v>
      </c>
      <c r="B40" s="186" t="s">
        <v>176</v>
      </c>
      <c r="C40" s="225">
        <v>11071.679999999998</v>
      </c>
      <c r="D40" s="224">
        <v>89801753.799999833</v>
      </c>
      <c r="E40" s="201">
        <v>8111</v>
      </c>
      <c r="F40" s="201">
        <v>34812180.839825764</v>
      </c>
      <c r="G40" s="201">
        <v>3144</v>
      </c>
      <c r="H40" s="201">
        <v>11855238.66</v>
      </c>
      <c r="I40" s="201">
        <v>1071</v>
      </c>
      <c r="J40" s="201">
        <v>6254383.1100000003</v>
      </c>
      <c r="K40" s="201">
        <v>565</v>
      </c>
      <c r="L40" s="201">
        <v>142723556.40982559</v>
      </c>
      <c r="M40" s="188">
        <v>12891</v>
      </c>
      <c r="N40" s="99"/>
      <c r="O40" s="183"/>
      <c r="P40" s="14"/>
      <c r="Q40" s="14"/>
      <c r="R40" s="14"/>
      <c r="S40" s="14"/>
      <c r="T40" s="13"/>
      <c r="U40" s="13"/>
      <c r="V40" s="13"/>
      <c r="W40" s="13"/>
      <c r="X40" s="13"/>
      <c r="Y40" s="13"/>
      <c r="Z40" s="13"/>
    </row>
    <row r="41" spans="1:26" x14ac:dyDescent="0.2">
      <c r="A41" s="189">
        <v>31</v>
      </c>
      <c r="B41" s="186" t="s">
        <v>177</v>
      </c>
      <c r="C41" s="225">
        <v>2025.6299999999999</v>
      </c>
      <c r="D41" s="224">
        <v>8364763.3000000063</v>
      </c>
      <c r="E41" s="201">
        <v>4129</v>
      </c>
      <c r="F41" s="201">
        <v>9955409.3783071991</v>
      </c>
      <c r="G41" s="201">
        <v>4915</v>
      </c>
      <c r="H41" s="201">
        <v>2291231.58</v>
      </c>
      <c r="I41" s="201">
        <v>1131</v>
      </c>
      <c r="J41" s="201">
        <v>1764403.8800000001</v>
      </c>
      <c r="K41" s="201">
        <v>871</v>
      </c>
      <c r="L41" s="201">
        <v>22375808.138307206</v>
      </c>
      <c r="M41" s="188">
        <v>11046</v>
      </c>
      <c r="N41" s="99"/>
      <c r="O41" s="183"/>
      <c r="P41" s="14"/>
      <c r="Q41" s="14"/>
      <c r="R41" s="14"/>
      <c r="S41" s="14"/>
      <c r="T41" s="13"/>
      <c r="U41" s="13"/>
      <c r="V41" s="13"/>
      <c r="W41" s="13"/>
      <c r="X41" s="13"/>
      <c r="Y41" s="13"/>
      <c r="Z41" s="13"/>
    </row>
    <row r="42" spans="1:26" x14ac:dyDescent="0.2">
      <c r="A42" s="189">
        <v>32</v>
      </c>
      <c r="B42" s="186" t="s">
        <v>178</v>
      </c>
      <c r="C42" s="225">
        <v>3558.98</v>
      </c>
      <c r="D42" s="224">
        <v>17376279.849999994</v>
      </c>
      <c r="E42" s="201">
        <v>4882</v>
      </c>
      <c r="F42" s="201">
        <v>15472187.748095144</v>
      </c>
      <c r="G42" s="201">
        <v>4347</v>
      </c>
      <c r="H42" s="201">
        <v>4036015.54</v>
      </c>
      <c r="I42" s="201">
        <v>1134</v>
      </c>
      <c r="J42" s="201">
        <v>1998767.8</v>
      </c>
      <c r="K42" s="201">
        <v>562</v>
      </c>
      <c r="L42" s="201">
        <v>38883250.938095137</v>
      </c>
      <c r="M42" s="188">
        <v>10925</v>
      </c>
      <c r="N42" s="99"/>
      <c r="O42" s="183"/>
      <c r="P42" s="14"/>
      <c r="Q42" s="14"/>
      <c r="R42" s="14"/>
      <c r="S42" s="14"/>
      <c r="T42" s="13"/>
      <c r="U42" s="13"/>
      <c r="V42" s="13"/>
      <c r="W42" s="13"/>
      <c r="X42" s="13"/>
      <c r="Y42" s="13"/>
      <c r="Z42" s="13"/>
    </row>
    <row r="43" spans="1:26" x14ac:dyDescent="0.2">
      <c r="A43" s="190">
        <v>33</v>
      </c>
      <c r="B43" s="191" t="s">
        <v>179</v>
      </c>
      <c r="C43" s="225">
        <v>7183.170000000001</v>
      </c>
      <c r="D43" s="224">
        <v>33679805.80999998</v>
      </c>
      <c r="E43" s="201">
        <v>4689</v>
      </c>
      <c r="F43" s="201">
        <v>33747992.787149578</v>
      </c>
      <c r="G43" s="201">
        <v>4698</v>
      </c>
      <c r="H43" s="201">
        <v>8599299.6799999997</v>
      </c>
      <c r="I43" s="201">
        <v>1197</v>
      </c>
      <c r="J43" s="201">
        <v>7702766.9999999991</v>
      </c>
      <c r="K43" s="201">
        <v>1072</v>
      </c>
      <c r="L43" s="201">
        <v>83729865.277149558</v>
      </c>
      <c r="M43" s="188">
        <v>11656</v>
      </c>
      <c r="N43" s="99"/>
      <c r="O43" s="183"/>
      <c r="P43" s="14"/>
      <c r="Q43" s="14"/>
      <c r="R43" s="14"/>
      <c r="S43" s="14"/>
      <c r="T43" s="13"/>
      <c r="U43" s="13"/>
      <c r="V43" s="13"/>
      <c r="W43" s="13"/>
      <c r="X43" s="13"/>
      <c r="Y43" s="13"/>
      <c r="Z43" s="13"/>
    </row>
    <row r="44" spans="1:26" x14ac:dyDescent="0.2">
      <c r="A44" s="189">
        <v>34</v>
      </c>
      <c r="B44" s="186" t="s">
        <v>180</v>
      </c>
      <c r="C44" s="225">
        <v>13476.85</v>
      </c>
      <c r="D44" s="224">
        <v>84267803.539999902</v>
      </c>
      <c r="E44" s="201">
        <v>6253</v>
      </c>
      <c r="F44" s="201">
        <v>60878529.375001013</v>
      </c>
      <c r="G44" s="201">
        <v>4517</v>
      </c>
      <c r="H44" s="201">
        <v>13884503.199999999</v>
      </c>
      <c r="I44" s="201">
        <v>1030</v>
      </c>
      <c r="J44" s="201">
        <v>8231934.1699999999</v>
      </c>
      <c r="K44" s="201">
        <v>611</v>
      </c>
      <c r="L44" s="201">
        <v>167262770.28500092</v>
      </c>
      <c r="M44" s="188">
        <v>12411</v>
      </c>
      <c r="N44" s="99"/>
      <c r="O44" s="183"/>
      <c r="P44" s="14"/>
      <c r="Q44" s="14"/>
      <c r="R44" s="14"/>
      <c r="S44" s="14"/>
      <c r="T44" s="13"/>
      <c r="U44" s="13"/>
      <c r="V44" s="13"/>
      <c r="W44" s="13"/>
      <c r="X44" s="13"/>
      <c r="Y44" s="13"/>
      <c r="Z44" s="13"/>
    </row>
    <row r="45" spans="1:26" x14ac:dyDescent="0.2">
      <c r="A45" s="189">
        <v>35</v>
      </c>
      <c r="B45" s="186" t="s">
        <v>181</v>
      </c>
      <c r="C45" s="225">
        <v>2474.5700000000002</v>
      </c>
      <c r="D45" s="224">
        <v>8112687.7199999839</v>
      </c>
      <c r="E45" s="201">
        <v>3278</v>
      </c>
      <c r="F45" s="201">
        <v>13143938.376211103</v>
      </c>
      <c r="G45" s="201">
        <v>5312</v>
      </c>
      <c r="H45" s="201">
        <v>2772617.14</v>
      </c>
      <c r="I45" s="201">
        <v>1120</v>
      </c>
      <c r="J45" s="201">
        <v>2226287.0599999996</v>
      </c>
      <c r="K45" s="201">
        <v>900</v>
      </c>
      <c r="L45" s="201">
        <v>26255530.296211086</v>
      </c>
      <c r="M45" s="188">
        <v>10610</v>
      </c>
      <c r="N45" s="99"/>
      <c r="O45" s="183"/>
      <c r="P45" s="14"/>
      <c r="Q45" s="14"/>
      <c r="R45" s="14"/>
      <c r="S45" s="14"/>
      <c r="T45" s="13"/>
      <c r="U45" s="13"/>
      <c r="V45" s="13"/>
      <c r="W45" s="13"/>
      <c r="X45" s="13"/>
      <c r="Y45" s="13"/>
      <c r="Z45" s="13"/>
    </row>
    <row r="46" spans="1:26" x14ac:dyDescent="0.2">
      <c r="A46" s="189">
        <v>36</v>
      </c>
      <c r="B46" s="186" t="s">
        <v>182</v>
      </c>
      <c r="C46" s="225">
        <v>5414.6200000000008</v>
      </c>
      <c r="D46" s="224">
        <v>25741480.439999901</v>
      </c>
      <c r="E46" s="201">
        <v>4754</v>
      </c>
      <c r="F46" s="201">
        <v>24595037.246877678</v>
      </c>
      <c r="G46" s="201">
        <v>4542</v>
      </c>
      <c r="H46" s="201">
        <v>5544993.7000000002</v>
      </c>
      <c r="I46" s="201">
        <v>1024</v>
      </c>
      <c r="J46" s="201">
        <v>3541653.64</v>
      </c>
      <c r="K46" s="201">
        <v>654</v>
      </c>
      <c r="L46" s="201">
        <v>59423165.026877575</v>
      </c>
      <c r="M46" s="188">
        <v>10975</v>
      </c>
      <c r="N46" s="99"/>
      <c r="O46" s="183"/>
      <c r="P46" s="14"/>
      <c r="Q46" s="14"/>
      <c r="R46" s="14"/>
      <c r="S46" s="14"/>
      <c r="T46" s="13"/>
      <c r="U46" s="13"/>
      <c r="V46" s="13"/>
      <c r="W46" s="13"/>
      <c r="X46" s="13"/>
      <c r="Y46" s="13"/>
      <c r="Z46" s="13"/>
    </row>
    <row r="47" spans="1:26" x14ac:dyDescent="0.2">
      <c r="A47" s="189">
        <v>37</v>
      </c>
      <c r="B47" s="186" t="s">
        <v>183</v>
      </c>
      <c r="C47" s="225">
        <v>2645.6899999999996</v>
      </c>
      <c r="D47" s="224">
        <v>23184677.850000031</v>
      </c>
      <c r="E47" s="201">
        <v>8763</v>
      </c>
      <c r="F47" s="201">
        <v>3951993.0620956076</v>
      </c>
      <c r="G47" s="201">
        <v>1494</v>
      </c>
      <c r="H47" s="201">
        <v>3213661.08</v>
      </c>
      <c r="I47" s="201">
        <v>1215</v>
      </c>
      <c r="J47" s="201">
        <v>1599118.6100000006</v>
      </c>
      <c r="K47" s="201">
        <v>604</v>
      </c>
      <c r="L47" s="201">
        <v>31949450.602095641</v>
      </c>
      <c r="M47" s="188">
        <v>12076</v>
      </c>
      <c r="N47" s="99"/>
      <c r="O47" s="183"/>
      <c r="P47" s="14"/>
      <c r="Q47" s="14"/>
      <c r="R47" s="14"/>
      <c r="S47" s="14"/>
      <c r="T47" s="13"/>
      <c r="U47" s="13"/>
      <c r="V47" s="13"/>
      <c r="W47" s="13"/>
      <c r="X47" s="13"/>
      <c r="Y47" s="13"/>
      <c r="Z47" s="13"/>
    </row>
    <row r="48" spans="1:26" x14ac:dyDescent="0.2">
      <c r="A48" s="189">
        <v>38</v>
      </c>
      <c r="B48" s="186" t="s">
        <v>184</v>
      </c>
      <c r="C48" s="225">
        <v>1573.06</v>
      </c>
      <c r="D48" s="224">
        <v>7065813.160000002</v>
      </c>
      <c r="E48" s="201">
        <v>4492</v>
      </c>
      <c r="F48" s="201">
        <v>9018627.6999999993</v>
      </c>
      <c r="G48" s="201">
        <v>5733</v>
      </c>
      <c r="H48" s="201">
        <v>2133828.7999999998</v>
      </c>
      <c r="I48" s="201">
        <v>1356</v>
      </c>
      <c r="J48" s="201">
        <v>2067270.26</v>
      </c>
      <c r="K48" s="201">
        <v>1314</v>
      </c>
      <c r="L48" s="201">
        <v>20285539.920000002</v>
      </c>
      <c r="M48" s="188">
        <v>12896</v>
      </c>
      <c r="N48" s="99"/>
      <c r="O48" s="183"/>
      <c r="P48" s="14"/>
      <c r="Q48" s="14"/>
      <c r="R48" s="14"/>
      <c r="S48" s="14"/>
      <c r="T48" s="13"/>
      <c r="U48" s="13"/>
      <c r="V48" s="13"/>
      <c r="W48" s="13"/>
      <c r="X48" s="13"/>
      <c r="Y48" s="13"/>
      <c r="Z48" s="13"/>
    </row>
    <row r="49" spans="1:26" x14ac:dyDescent="0.2">
      <c r="A49" s="189">
        <v>39</v>
      </c>
      <c r="B49" s="186" t="s">
        <v>185</v>
      </c>
      <c r="C49" s="225">
        <v>3071.56</v>
      </c>
      <c r="D49" s="224">
        <v>14477199.459999964</v>
      </c>
      <c r="E49" s="201">
        <v>4713</v>
      </c>
      <c r="F49" s="201">
        <v>15539592.330877505</v>
      </c>
      <c r="G49" s="201">
        <v>5059</v>
      </c>
      <c r="H49" s="201">
        <v>3390554.32</v>
      </c>
      <c r="I49" s="201">
        <v>1104</v>
      </c>
      <c r="J49" s="201">
        <v>2201600.96</v>
      </c>
      <c r="K49" s="201">
        <v>717</v>
      </c>
      <c r="L49" s="201">
        <v>35608947.07087747</v>
      </c>
      <c r="M49" s="188">
        <v>11593</v>
      </c>
      <c r="N49" s="99"/>
      <c r="O49" s="183"/>
      <c r="P49" s="14"/>
      <c r="Q49" s="14"/>
      <c r="R49" s="14"/>
      <c r="S49" s="14"/>
      <c r="T49" s="13"/>
      <c r="U49" s="13"/>
      <c r="V49" s="13"/>
      <c r="W49" s="13"/>
      <c r="X49" s="13"/>
      <c r="Y49" s="13"/>
      <c r="Z49" s="13"/>
    </row>
    <row r="50" spans="1:26" ht="13.5" x14ac:dyDescent="0.2">
      <c r="A50" s="189">
        <v>40</v>
      </c>
      <c r="B50" s="186" t="s">
        <v>652</v>
      </c>
      <c r="C50" s="225">
        <v>2351.44</v>
      </c>
      <c r="D50" s="224">
        <v>5643803.7600000165</v>
      </c>
      <c r="E50" s="201">
        <v>2400</v>
      </c>
      <c r="F50" s="201">
        <v>15165446.46054573</v>
      </c>
      <c r="G50" s="201">
        <v>6449</v>
      </c>
      <c r="H50" s="201">
        <v>2609388.1799999997</v>
      </c>
      <c r="I50" s="201">
        <v>1110</v>
      </c>
      <c r="J50" s="201">
        <v>4317794.3099999996</v>
      </c>
      <c r="K50" s="201">
        <v>1836</v>
      </c>
      <c r="L50" s="201">
        <v>27736432.710545745</v>
      </c>
      <c r="M50" s="188">
        <v>11796</v>
      </c>
      <c r="N50" s="99"/>
      <c r="O50" s="183"/>
      <c r="P50" s="14"/>
      <c r="Q50" s="14"/>
      <c r="R50" s="14"/>
      <c r="S50" s="14"/>
      <c r="T50" s="13"/>
      <c r="U50" s="13"/>
      <c r="V50" s="13"/>
      <c r="W50" s="13"/>
      <c r="X50" s="13"/>
      <c r="Y50" s="13"/>
      <c r="Z50" s="13"/>
    </row>
    <row r="51" spans="1:26" x14ac:dyDescent="0.2">
      <c r="A51" s="189">
        <v>41</v>
      </c>
      <c r="B51" s="186" t="s">
        <v>186</v>
      </c>
      <c r="C51" s="225">
        <v>5026.4800000000005</v>
      </c>
      <c r="D51" s="224">
        <v>14988658.319999993</v>
      </c>
      <c r="E51" s="201">
        <v>2982</v>
      </c>
      <c r="F51" s="201">
        <v>29451566.590000004</v>
      </c>
      <c r="G51" s="201">
        <v>5859</v>
      </c>
      <c r="H51" s="201">
        <v>5789494.7800000003</v>
      </c>
      <c r="I51" s="201">
        <v>1152</v>
      </c>
      <c r="J51" s="201">
        <v>7283246.6200000001</v>
      </c>
      <c r="K51" s="201">
        <v>1449</v>
      </c>
      <c r="L51" s="201">
        <v>57512966.309999995</v>
      </c>
      <c r="M51" s="188">
        <v>11442</v>
      </c>
      <c r="N51" s="99"/>
      <c r="O51" s="183"/>
      <c r="P51" s="14"/>
      <c r="Q51" s="14"/>
      <c r="R51" s="14"/>
      <c r="S51" s="14"/>
      <c r="T51" s="13"/>
      <c r="U51" s="13"/>
      <c r="V51" s="13"/>
      <c r="W51" s="13"/>
      <c r="X51" s="13"/>
      <c r="Y51" s="13"/>
      <c r="Z51" s="13"/>
    </row>
    <row r="52" spans="1:26" x14ac:dyDescent="0.2">
      <c r="A52" s="189">
        <v>42</v>
      </c>
      <c r="B52" s="186" t="s">
        <v>187</v>
      </c>
      <c r="C52" s="225">
        <v>17814.669999999998</v>
      </c>
      <c r="D52" s="224">
        <v>89995054.789999962</v>
      </c>
      <c r="E52" s="201">
        <v>5052</v>
      </c>
      <c r="F52" s="201">
        <v>71211647.409293711</v>
      </c>
      <c r="G52" s="201">
        <v>3997</v>
      </c>
      <c r="H52" s="201">
        <v>18107772.719999999</v>
      </c>
      <c r="I52" s="201">
        <v>1016</v>
      </c>
      <c r="J52" s="201">
        <v>9263204.8499999996</v>
      </c>
      <c r="K52" s="201">
        <v>520</v>
      </c>
      <c r="L52" s="201">
        <v>188577679.76929367</v>
      </c>
      <c r="M52" s="188">
        <v>10586</v>
      </c>
      <c r="N52" s="99"/>
      <c r="O52" s="183"/>
      <c r="P52" s="14"/>
      <c r="Q52" s="14"/>
      <c r="R52" s="14"/>
      <c r="S52" s="14"/>
      <c r="T52" s="13"/>
      <c r="U52" s="13"/>
      <c r="V52" s="13"/>
      <c r="W52" s="13"/>
      <c r="X52" s="13"/>
      <c r="Y52" s="13"/>
      <c r="Z52" s="13"/>
    </row>
    <row r="53" spans="1:26" x14ac:dyDescent="0.2">
      <c r="A53" s="189">
        <v>43</v>
      </c>
      <c r="B53" s="186" t="s">
        <v>188</v>
      </c>
      <c r="C53" s="225">
        <v>51398.319999999992</v>
      </c>
      <c r="D53" s="224">
        <v>249403615.40000048</v>
      </c>
      <c r="E53" s="201">
        <v>4852</v>
      </c>
      <c r="F53" s="201">
        <v>176311796.87101653</v>
      </c>
      <c r="G53" s="201">
        <v>3430</v>
      </c>
      <c r="H53" s="201">
        <v>55781965.859999999</v>
      </c>
      <c r="I53" s="201">
        <v>1085</v>
      </c>
      <c r="J53" s="201">
        <v>35126452.219999999</v>
      </c>
      <c r="K53" s="201">
        <v>683</v>
      </c>
      <c r="L53" s="201">
        <v>516623830.351017</v>
      </c>
      <c r="M53" s="188">
        <v>10051</v>
      </c>
      <c r="N53" s="99"/>
      <c r="O53" s="183"/>
      <c r="P53" s="14"/>
      <c r="Q53" s="14"/>
      <c r="R53" s="14"/>
      <c r="S53" s="14"/>
      <c r="T53" s="13"/>
      <c r="U53" s="13"/>
      <c r="V53" s="13"/>
      <c r="W53" s="13"/>
      <c r="X53" s="13"/>
      <c r="Y53" s="13"/>
      <c r="Z53" s="13"/>
    </row>
    <row r="54" spans="1:26" x14ac:dyDescent="0.2">
      <c r="A54" s="189">
        <v>44</v>
      </c>
      <c r="B54" s="186" t="s">
        <v>189</v>
      </c>
      <c r="C54" s="225">
        <v>7429.54</v>
      </c>
      <c r="D54" s="224">
        <v>14932841.649999991</v>
      </c>
      <c r="E54" s="201">
        <v>2010</v>
      </c>
      <c r="F54" s="201">
        <v>45449234.719316088</v>
      </c>
      <c r="G54" s="201">
        <v>6117</v>
      </c>
      <c r="H54" s="201">
        <v>7531013.0199999996</v>
      </c>
      <c r="I54" s="201">
        <v>1014</v>
      </c>
      <c r="J54" s="201">
        <v>9844040.5799999982</v>
      </c>
      <c r="K54" s="201">
        <v>1325</v>
      </c>
      <c r="L54" s="201">
        <v>77757129.96931608</v>
      </c>
      <c r="M54" s="188">
        <v>10466</v>
      </c>
      <c r="N54" s="99"/>
      <c r="O54" s="183"/>
      <c r="P54" s="14"/>
      <c r="Q54" s="14"/>
      <c r="R54" s="14"/>
      <c r="S54" s="14"/>
      <c r="T54" s="13"/>
      <c r="U54" s="13"/>
      <c r="V54" s="13"/>
      <c r="W54" s="13"/>
      <c r="X54" s="13"/>
      <c r="Y54" s="13"/>
      <c r="Z54" s="13"/>
    </row>
    <row r="55" spans="1:26" x14ac:dyDescent="0.2">
      <c r="A55" s="189">
        <v>45</v>
      </c>
      <c r="B55" s="186" t="s">
        <v>190</v>
      </c>
      <c r="C55" s="225">
        <v>208.73999999999998</v>
      </c>
      <c r="D55" s="224">
        <v>2409461.6100000017</v>
      </c>
      <c r="E55" s="201">
        <v>11543</v>
      </c>
      <c r="F55" s="201">
        <v>1413469.750636328</v>
      </c>
      <c r="G55" s="201">
        <v>6771</v>
      </c>
      <c r="H55" s="201">
        <v>237362.22</v>
      </c>
      <c r="I55" s="201">
        <v>1137</v>
      </c>
      <c r="J55" s="201">
        <v>216857.18</v>
      </c>
      <c r="K55" s="201">
        <v>1039</v>
      </c>
      <c r="L55" s="201">
        <v>4277150.7606363297</v>
      </c>
      <c r="M55" s="188">
        <v>20490</v>
      </c>
      <c r="N55" s="99"/>
      <c r="O55" s="183"/>
      <c r="P55" s="14"/>
      <c r="Q55" s="14"/>
      <c r="R55" s="14"/>
      <c r="S55" s="14"/>
      <c r="T55" s="13"/>
      <c r="U55" s="13"/>
      <c r="V55" s="13"/>
      <c r="W55" s="13"/>
      <c r="X55" s="13"/>
      <c r="Y55" s="13"/>
      <c r="Z55" s="13"/>
    </row>
    <row r="56" spans="1:26" x14ac:dyDescent="0.2">
      <c r="A56" s="189">
        <v>46</v>
      </c>
      <c r="B56" s="186" t="s">
        <v>191</v>
      </c>
      <c r="C56" s="225">
        <v>5475.58</v>
      </c>
      <c r="D56" s="224">
        <v>25124735.670000061</v>
      </c>
      <c r="E56" s="201">
        <v>4589</v>
      </c>
      <c r="F56" s="201">
        <v>23585180.337638125</v>
      </c>
      <c r="G56" s="201">
        <v>4307</v>
      </c>
      <c r="H56" s="201">
        <v>5829997.6399999997</v>
      </c>
      <c r="I56" s="201">
        <v>1065</v>
      </c>
      <c r="J56" s="201">
        <v>3200323.7500000005</v>
      </c>
      <c r="K56" s="201">
        <v>584</v>
      </c>
      <c r="L56" s="201">
        <v>57740237.397638187</v>
      </c>
      <c r="M56" s="188">
        <v>10545</v>
      </c>
      <c r="N56" s="99"/>
      <c r="O56" s="183"/>
      <c r="P56" s="14"/>
      <c r="Q56" s="14"/>
      <c r="R56" s="14"/>
      <c r="S56" s="14"/>
      <c r="T56" s="13"/>
      <c r="U56" s="13"/>
      <c r="V56" s="13"/>
      <c r="W56" s="13"/>
      <c r="X56" s="13"/>
      <c r="Y56" s="13"/>
      <c r="Z56" s="13"/>
    </row>
    <row r="57" spans="1:26" x14ac:dyDescent="0.2">
      <c r="A57" s="189">
        <v>48</v>
      </c>
      <c r="B57" s="186" t="s">
        <v>193</v>
      </c>
      <c r="C57" s="225">
        <v>4460.3900000000003</v>
      </c>
      <c r="D57" s="224">
        <v>17518053.650000006</v>
      </c>
      <c r="E57" s="201">
        <v>3927</v>
      </c>
      <c r="F57" s="201">
        <v>20627239.54884905</v>
      </c>
      <c r="G57" s="201">
        <v>4625</v>
      </c>
      <c r="H57" s="201">
        <v>4539060.22</v>
      </c>
      <c r="I57" s="201">
        <v>1018</v>
      </c>
      <c r="J57" s="201">
        <v>2119939.44</v>
      </c>
      <c r="K57" s="201">
        <v>475</v>
      </c>
      <c r="L57" s="201">
        <v>44804292.858849056</v>
      </c>
      <c r="M57" s="188">
        <v>10045</v>
      </c>
      <c r="N57" s="99"/>
      <c r="O57" s="183"/>
      <c r="P57" s="14"/>
      <c r="Q57" s="14"/>
      <c r="R57" s="14"/>
      <c r="S57" s="14"/>
      <c r="T57" s="13"/>
      <c r="U57" s="13"/>
      <c r="V57" s="13"/>
      <c r="W57" s="13"/>
      <c r="X57" s="13"/>
      <c r="Y57" s="13"/>
      <c r="Z57" s="13"/>
    </row>
    <row r="58" spans="1:26" x14ac:dyDescent="0.2">
      <c r="A58" s="189">
        <v>49</v>
      </c>
      <c r="B58" s="186" t="s">
        <v>192</v>
      </c>
      <c r="C58" s="225">
        <v>811.18</v>
      </c>
      <c r="D58" s="224">
        <v>4130538.3400000017</v>
      </c>
      <c r="E58" s="201">
        <v>5092</v>
      </c>
      <c r="F58" s="201">
        <v>4538641.3247808507</v>
      </c>
      <c r="G58" s="201">
        <v>5595</v>
      </c>
      <c r="H58" s="201">
        <v>995038.3</v>
      </c>
      <c r="I58" s="201">
        <v>1227</v>
      </c>
      <c r="J58" s="201">
        <v>934094.85</v>
      </c>
      <c r="K58" s="201">
        <v>1152</v>
      </c>
      <c r="L58" s="201">
        <v>10598312.814780852</v>
      </c>
      <c r="M58" s="188">
        <v>13065</v>
      </c>
      <c r="N58" s="99"/>
      <c r="O58" s="183"/>
      <c r="P58" s="14"/>
      <c r="Q58" s="14"/>
      <c r="R58" s="14"/>
      <c r="S58" s="14"/>
      <c r="T58" s="13"/>
      <c r="U58" s="13"/>
      <c r="V58" s="13"/>
      <c r="W58" s="13"/>
      <c r="X58" s="13"/>
      <c r="Y58" s="13"/>
      <c r="Z58" s="13"/>
    </row>
    <row r="59" spans="1:26" x14ac:dyDescent="0.2">
      <c r="A59" s="189">
        <v>50</v>
      </c>
      <c r="B59" s="186" t="s">
        <v>194</v>
      </c>
      <c r="C59" s="225">
        <v>2186</v>
      </c>
      <c r="D59" s="224">
        <v>10165009.639999997</v>
      </c>
      <c r="E59" s="201">
        <v>4650</v>
      </c>
      <c r="F59" s="201">
        <v>11605810.957932038</v>
      </c>
      <c r="G59" s="201">
        <v>5309</v>
      </c>
      <c r="H59" s="201">
        <v>2209248.6</v>
      </c>
      <c r="I59" s="201">
        <v>1011</v>
      </c>
      <c r="J59" s="201">
        <v>1421225.62</v>
      </c>
      <c r="K59" s="201">
        <v>650</v>
      </c>
      <c r="L59" s="201">
        <v>25401294.817932036</v>
      </c>
      <c r="M59" s="188">
        <v>11620</v>
      </c>
      <c r="N59" s="99"/>
      <c r="O59" s="183"/>
      <c r="P59" s="14"/>
      <c r="Q59" s="14"/>
      <c r="R59" s="14"/>
      <c r="S59" s="14"/>
      <c r="T59" s="13"/>
      <c r="U59" s="13"/>
      <c r="V59" s="13"/>
      <c r="W59" s="13"/>
      <c r="X59" s="13"/>
      <c r="Y59" s="13"/>
      <c r="Z59" s="13"/>
    </row>
    <row r="60" spans="1:26" x14ac:dyDescent="0.2">
      <c r="A60" s="189">
        <v>51</v>
      </c>
      <c r="B60" s="186" t="s">
        <v>195</v>
      </c>
      <c r="C60" s="225">
        <v>1147.8900000000001</v>
      </c>
      <c r="D60" s="224">
        <v>10826718.929999992</v>
      </c>
      <c r="E60" s="201">
        <v>9432</v>
      </c>
      <c r="F60" s="201">
        <v>2815854.9723924329</v>
      </c>
      <c r="G60" s="201">
        <v>2453</v>
      </c>
      <c r="H60" s="201">
        <v>1216681.72</v>
      </c>
      <c r="I60" s="201">
        <v>1060</v>
      </c>
      <c r="J60" s="201">
        <v>1257596.54</v>
      </c>
      <c r="K60" s="201">
        <v>1096</v>
      </c>
      <c r="L60" s="201">
        <v>16116852.162392424</v>
      </c>
      <c r="M60" s="188">
        <v>14040</v>
      </c>
      <c r="N60" s="99"/>
      <c r="O60" s="183"/>
      <c r="P60" s="14"/>
      <c r="Q60" s="14"/>
      <c r="R60" s="14"/>
      <c r="S60" s="14"/>
      <c r="T60" s="13"/>
      <c r="U60" s="13"/>
      <c r="V60" s="13"/>
      <c r="W60" s="13"/>
      <c r="X60" s="13"/>
      <c r="Y60" s="13"/>
      <c r="Z60" s="13"/>
    </row>
    <row r="61" spans="1:26" x14ac:dyDescent="0.2">
      <c r="A61" s="189">
        <v>52</v>
      </c>
      <c r="B61" s="186" t="s">
        <v>196</v>
      </c>
      <c r="C61" s="225">
        <v>3267.35</v>
      </c>
      <c r="D61" s="224">
        <v>5265983.1900000051</v>
      </c>
      <c r="E61" s="201">
        <v>1612</v>
      </c>
      <c r="F61" s="201">
        <v>23868673.701949783</v>
      </c>
      <c r="G61" s="201">
        <v>7305</v>
      </c>
      <c r="H61" s="201">
        <v>3637121.9</v>
      </c>
      <c r="I61" s="201">
        <v>1113</v>
      </c>
      <c r="J61" s="201">
        <v>7354223.830000001</v>
      </c>
      <c r="K61" s="201">
        <v>2251</v>
      </c>
      <c r="L61" s="201">
        <v>40126002.621949784</v>
      </c>
      <c r="M61" s="188">
        <v>12281</v>
      </c>
      <c r="N61" s="99"/>
      <c r="O61" s="183"/>
      <c r="P61" s="14"/>
      <c r="Q61" s="14"/>
      <c r="R61" s="14"/>
      <c r="S61" s="14"/>
      <c r="T61" s="13"/>
      <c r="U61" s="13"/>
      <c r="V61" s="13"/>
      <c r="W61" s="13"/>
      <c r="X61" s="13"/>
      <c r="Y61" s="13"/>
      <c r="Z61" s="13"/>
    </row>
    <row r="62" spans="1:26" x14ac:dyDescent="0.2">
      <c r="A62" s="189">
        <v>53</v>
      </c>
      <c r="B62" s="186" t="s">
        <v>197</v>
      </c>
      <c r="C62" s="225">
        <v>81119.34</v>
      </c>
      <c r="D62" s="224">
        <v>816757760.22999859</v>
      </c>
      <c r="E62" s="201">
        <v>10069</v>
      </c>
      <c r="F62" s="201">
        <v>262688175.46348169</v>
      </c>
      <c r="G62" s="201">
        <v>3238</v>
      </c>
      <c r="H62" s="201">
        <v>76573688.5</v>
      </c>
      <c r="I62" s="201">
        <v>944</v>
      </c>
      <c r="J62" s="201">
        <v>24362091.259999994</v>
      </c>
      <c r="K62" s="201">
        <v>300</v>
      </c>
      <c r="L62" s="201">
        <v>1180381715.4534802</v>
      </c>
      <c r="M62" s="188">
        <v>14551</v>
      </c>
      <c r="N62" s="99"/>
      <c r="O62" s="183"/>
      <c r="P62" s="14"/>
      <c r="Q62" s="14"/>
      <c r="R62" s="14"/>
      <c r="S62" s="14"/>
      <c r="T62" s="13"/>
      <c r="U62" s="13"/>
      <c r="V62" s="13"/>
      <c r="W62" s="13"/>
      <c r="X62" s="13"/>
      <c r="Y62" s="13"/>
      <c r="Z62" s="13"/>
    </row>
    <row r="63" spans="1:26" x14ac:dyDescent="0.2">
      <c r="A63" s="189">
        <v>54</v>
      </c>
      <c r="B63" s="186" t="s">
        <v>198</v>
      </c>
      <c r="C63" s="225">
        <v>4853.1400000000003</v>
      </c>
      <c r="D63" s="224">
        <v>34047676.420000032</v>
      </c>
      <c r="E63" s="201">
        <v>7016</v>
      </c>
      <c r="F63" s="201">
        <v>17096636.045172915</v>
      </c>
      <c r="G63" s="201">
        <v>3523</v>
      </c>
      <c r="H63" s="201">
        <v>5347706.78</v>
      </c>
      <c r="I63" s="201">
        <v>1102</v>
      </c>
      <c r="J63" s="201">
        <v>3324012.91</v>
      </c>
      <c r="K63" s="201">
        <v>685</v>
      </c>
      <c r="L63" s="201">
        <v>59816032.155172952</v>
      </c>
      <c r="M63" s="188">
        <v>12325</v>
      </c>
      <c r="N63" s="99"/>
      <c r="O63" s="183"/>
      <c r="P63" s="14"/>
      <c r="Q63" s="14"/>
      <c r="R63" s="14"/>
      <c r="S63" s="14"/>
      <c r="T63" s="13"/>
      <c r="U63" s="13"/>
      <c r="V63" s="13"/>
      <c r="W63" s="13"/>
      <c r="X63" s="13"/>
      <c r="Y63" s="13"/>
      <c r="Z63" s="13"/>
    </row>
    <row r="64" spans="1:26" x14ac:dyDescent="0.2">
      <c r="A64" s="189">
        <v>55</v>
      </c>
      <c r="B64" s="186" t="s">
        <v>199</v>
      </c>
      <c r="C64" s="225">
        <v>1505.42</v>
      </c>
      <c r="D64" s="224">
        <v>3374982.2100000028</v>
      </c>
      <c r="E64" s="201">
        <v>2242</v>
      </c>
      <c r="F64" s="201">
        <v>9335427.0564005394</v>
      </c>
      <c r="G64" s="201">
        <v>6201</v>
      </c>
      <c r="H64" s="201">
        <v>1677487.36</v>
      </c>
      <c r="I64" s="201">
        <v>1114</v>
      </c>
      <c r="J64" s="201">
        <v>1721480.5799999996</v>
      </c>
      <c r="K64" s="201">
        <v>1144</v>
      </c>
      <c r="L64" s="201">
        <v>16109377.206400542</v>
      </c>
      <c r="M64" s="188">
        <v>10701</v>
      </c>
      <c r="N64" s="99"/>
      <c r="O64" s="183"/>
      <c r="P64" s="14"/>
      <c r="Q64" s="14"/>
      <c r="R64" s="14"/>
      <c r="S64" s="14"/>
      <c r="T64" s="13"/>
      <c r="U64" s="13"/>
      <c r="V64" s="13"/>
      <c r="W64" s="13"/>
      <c r="X64" s="13"/>
      <c r="Y64" s="13"/>
      <c r="Z64" s="13"/>
    </row>
    <row r="65" spans="1:26" x14ac:dyDescent="0.2">
      <c r="A65" s="189">
        <v>56</v>
      </c>
      <c r="B65" s="186" t="s">
        <v>200</v>
      </c>
      <c r="C65" s="225">
        <v>1722.4400000000003</v>
      </c>
      <c r="D65" s="224">
        <v>9856244.9699999969</v>
      </c>
      <c r="E65" s="201">
        <v>5722</v>
      </c>
      <c r="F65" s="201">
        <v>7883555.2654368943</v>
      </c>
      <c r="G65" s="201">
        <v>4577</v>
      </c>
      <c r="H65" s="201">
        <v>2031968.14</v>
      </c>
      <c r="I65" s="201">
        <v>1180</v>
      </c>
      <c r="J65" s="201">
        <v>1426899.57</v>
      </c>
      <c r="K65" s="201">
        <v>828</v>
      </c>
      <c r="L65" s="201">
        <v>21198667.945436891</v>
      </c>
      <c r="M65" s="188">
        <v>12307</v>
      </c>
      <c r="N65" s="99"/>
      <c r="O65" s="183"/>
      <c r="P65" s="14"/>
      <c r="Q65" s="14"/>
      <c r="R65" s="14"/>
      <c r="S65" s="14"/>
      <c r="T65" s="13"/>
      <c r="U65" s="13"/>
      <c r="V65" s="13"/>
      <c r="W65" s="13"/>
      <c r="X65" s="13"/>
      <c r="Y65" s="13"/>
      <c r="Z65" s="13"/>
    </row>
    <row r="66" spans="1:26" x14ac:dyDescent="0.2">
      <c r="A66" s="189">
        <v>57</v>
      </c>
      <c r="B66" s="186" t="s">
        <v>201</v>
      </c>
      <c r="C66" s="225">
        <v>1084.2000000000003</v>
      </c>
      <c r="D66" s="224">
        <v>7673074.1400000015</v>
      </c>
      <c r="E66" s="201">
        <v>7077</v>
      </c>
      <c r="F66" s="201">
        <v>4350180.3687037947</v>
      </c>
      <c r="G66" s="201">
        <v>4012</v>
      </c>
      <c r="H66" s="201">
        <v>1133597.6200000001</v>
      </c>
      <c r="I66" s="201">
        <v>1046</v>
      </c>
      <c r="J66" s="201">
        <v>782596.21</v>
      </c>
      <c r="K66" s="201">
        <v>722</v>
      </c>
      <c r="L66" s="201">
        <v>13939448.338703796</v>
      </c>
      <c r="M66" s="188">
        <v>12857</v>
      </c>
      <c r="N66" s="99"/>
      <c r="O66" s="183"/>
      <c r="P66" s="14"/>
      <c r="Q66" s="14"/>
      <c r="R66" s="14"/>
      <c r="S66" s="14"/>
      <c r="T66" s="13"/>
      <c r="U66" s="13"/>
      <c r="V66" s="13"/>
      <c r="W66" s="13"/>
      <c r="X66" s="13"/>
      <c r="Y66" s="13"/>
      <c r="Z66" s="13"/>
    </row>
    <row r="67" spans="1:26" x14ac:dyDescent="0.2">
      <c r="A67" s="189">
        <v>58</v>
      </c>
      <c r="B67" s="186" t="s">
        <v>202</v>
      </c>
      <c r="C67" s="225">
        <v>4283.4799999999996</v>
      </c>
      <c r="D67" s="224">
        <v>16996700.750000004</v>
      </c>
      <c r="E67" s="201">
        <v>3968</v>
      </c>
      <c r="F67" s="201">
        <v>21760807.807081621</v>
      </c>
      <c r="G67" s="201">
        <v>5080</v>
      </c>
      <c r="H67" s="201">
        <v>4390373.32</v>
      </c>
      <c r="I67" s="201">
        <v>1025</v>
      </c>
      <c r="J67" s="201">
        <v>4844284.54</v>
      </c>
      <c r="K67" s="201">
        <v>1131</v>
      </c>
      <c r="L67" s="201">
        <v>47992166.417081624</v>
      </c>
      <c r="M67" s="188">
        <v>11204</v>
      </c>
      <c r="N67" s="99"/>
      <c r="O67" s="183"/>
      <c r="P67" s="14"/>
      <c r="Q67" s="14"/>
      <c r="R67" s="14"/>
      <c r="S67" s="14"/>
      <c r="T67" s="13"/>
      <c r="U67" s="13"/>
      <c r="V67" s="13"/>
      <c r="W67" s="13"/>
      <c r="X67" s="13"/>
      <c r="Y67" s="13"/>
      <c r="Z67" s="13"/>
    </row>
    <row r="68" spans="1:26" x14ac:dyDescent="0.2">
      <c r="A68" s="189">
        <v>59</v>
      </c>
      <c r="B68" s="186" t="s">
        <v>203</v>
      </c>
      <c r="C68" s="225">
        <v>1252.56</v>
      </c>
      <c r="D68" s="224">
        <v>8424364.2899999935</v>
      </c>
      <c r="E68" s="201">
        <v>6726</v>
      </c>
      <c r="F68" s="201">
        <v>3626162.6947796238</v>
      </c>
      <c r="G68" s="201">
        <v>2895</v>
      </c>
      <c r="H68" s="201">
        <v>1245096.6599999999</v>
      </c>
      <c r="I68" s="201">
        <v>994</v>
      </c>
      <c r="J68" s="201">
        <v>1101995.33</v>
      </c>
      <c r="K68" s="201">
        <v>880</v>
      </c>
      <c r="L68" s="201">
        <v>14397618.974779617</v>
      </c>
      <c r="M68" s="188">
        <v>11495</v>
      </c>
      <c r="N68" s="99"/>
      <c r="O68" s="183"/>
      <c r="P68" s="14"/>
      <c r="Q68" s="14"/>
      <c r="R68" s="14"/>
      <c r="S68" s="14"/>
      <c r="T68" s="13"/>
      <c r="U68" s="13"/>
      <c r="V68" s="13"/>
      <c r="W68" s="13"/>
      <c r="X68" s="13"/>
      <c r="Y68" s="13"/>
      <c r="Z68" s="13"/>
    </row>
    <row r="69" spans="1:26" x14ac:dyDescent="0.2">
      <c r="A69" s="189">
        <v>60</v>
      </c>
      <c r="B69" s="186" t="s">
        <v>204</v>
      </c>
      <c r="C69" s="225">
        <v>9859.6699999999983</v>
      </c>
      <c r="D69" s="224">
        <v>49236320.129999965</v>
      </c>
      <c r="E69" s="201">
        <v>4994</v>
      </c>
      <c r="F69" s="201">
        <v>43650468.380297214</v>
      </c>
      <c r="G69" s="201">
        <v>4427</v>
      </c>
      <c r="H69" s="201">
        <v>10955834.720000001</v>
      </c>
      <c r="I69" s="201">
        <v>1111</v>
      </c>
      <c r="J69" s="201">
        <v>6622462.8300000001</v>
      </c>
      <c r="K69" s="201">
        <v>672</v>
      </c>
      <c r="L69" s="201">
        <v>110465086.06029718</v>
      </c>
      <c r="M69" s="188">
        <v>11204</v>
      </c>
      <c r="N69" s="99"/>
      <c r="O69" s="183"/>
      <c r="P69" s="14"/>
      <c r="Q69" s="14"/>
      <c r="R69" s="14"/>
      <c r="S69" s="14"/>
      <c r="T69" s="13"/>
      <c r="U69" s="13"/>
      <c r="V69" s="13"/>
      <c r="W69" s="13"/>
      <c r="X69" s="13"/>
      <c r="Y69" s="13"/>
      <c r="Z69" s="13"/>
    </row>
    <row r="70" spans="1:26" x14ac:dyDescent="0.2">
      <c r="A70" s="189">
        <v>62</v>
      </c>
      <c r="B70" s="186" t="s">
        <v>205</v>
      </c>
      <c r="C70" s="225">
        <v>1857.45</v>
      </c>
      <c r="D70" s="224">
        <v>16601895.959999999</v>
      </c>
      <c r="E70" s="201">
        <v>8938</v>
      </c>
      <c r="F70" s="201">
        <v>6426460.2876925943</v>
      </c>
      <c r="G70" s="201">
        <v>3460</v>
      </c>
      <c r="H70" s="201">
        <v>2051320.64</v>
      </c>
      <c r="I70" s="201">
        <v>1104</v>
      </c>
      <c r="J70" s="201">
        <v>1604432.14</v>
      </c>
      <c r="K70" s="201">
        <v>864</v>
      </c>
      <c r="L70" s="201">
        <v>26684109.027692594</v>
      </c>
      <c r="M70" s="188">
        <v>14366</v>
      </c>
      <c r="N70" s="99"/>
      <c r="O70" s="183"/>
      <c r="P70" s="14"/>
      <c r="Q70" s="14"/>
      <c r="R70" s="14"/>
      <c r="S70" s="14"/>
      <c r="T70" s="13"/>
      <c r="U70" s="13"/>
      <c r="V70" s="13"/>
      <c r="W70" s="13"/>
      <c r="X70" s="13"/>
      <c r="Y70" s="13"/>
      <c r="Z70" s="13"/>
    </row>
    <row r="71" spans="1:26" x14ac:dyDescent="0.2">
      <c r="A71" s="189">
        <v>63</v>
      </c>
      <c r="B71" s="186" t="s">
        <v>206</v>
      </c>
      <c r="C71" s="225">
        <v>3218.54</v>
      </c>
      <c r="D71" s="224">
        <v>14236832.079999998</v>
      </c>
      <c r="E71" s="201">
        <v>4423</v>
      </c>
      <c r="F71" s="201">
        <v>13242314.44702111</v>
      </c>
      <c r="G71" s="201">
        <v>4114</v>
      </c>
      <c r="H71" s="201">
        <v>3204926.56</v>
      </c>
      <c r="I71" s="201">
        <v>996</v>
      </c>
      <c r="J71" s="201">
        <v>1393152.3099999998</v>
      </c>
      <c r="K71" s="201">
        <v>433</v>
      </c>
      <c r="L71" s="201">
        <v>32077225.397021107</v>
      </c>
      <c r="M71" s="188">
        <v>9966</v>
      </c>
      <c r="N71" s="99"/>
      <c r="O71" s="183"/>
      <c r="P71" s="14"/>
      <c r="Q71" s="14"/>
      <c r="R71" s="14"/>
      <c r="S71" s="14"/>
      <c r="T71" s="13"/>
      <c r="U71" s="13"/>
      <c r="V71" s="13"/>
      <c r="W71" s="13"/>
      <c r="X71" s="13"/>
      <c r="Y71" s="13"/>
      <c r="Z71" s="13"/>
    </row>
    <row r="72" spans="1:26" x14ac:dyDescent="0.2">
      <c r="A72" s="189">
        <v>65</v>
      </c>
      <c r="B72" s="186" t="s">
        <v>207</v>
      </c>
      <c r="C72" s="225">
        <v>1609.51</v>
      </c>
      <c r="D72" s="224">
        <v>8557806.2900000047</v>
      </c>
      <c r="E72" s="201">
        <v>5317</v>
      </c>
      <c r="F72" s="201">
        <v>7597689.3900000006</v>
      </c>
      <c r="G72" s="201">
        <v>4720</v>
      </c>
      <c r="H72" s="201">
        <v>1674123.34</v>
      </c>
      <c r="I72" s="201">
        <v>1040</v>
      </c>
      <c r="J72" s="201">
        <v>2200415.44</v>
      </c>
      <c r="K72" s="201">
        <v>1367</v>
      </c>
      <c r="L72" s="201">
        <v>20030034.460000005</v>
      </c>
      <c r="M72" s="188">
        <v>12445</v>
      </c>
      <c r="N72" s="99"/>
      <c r="O72" s="183"/>
      <c r="P72" s="14"/>
      <c r="Q72" s="14"/>
      <c r="R72" s="14"/>
      <c r="S72" s="14"/>
      <c r="T72" s="13"/>
      <c r="U72" s="13"/>
      <c r="V72" s="13"/>
      <c r="W72" s="13"/>
      <c r="X72" s="13"/>
      <c r="Y72" s="13"/>
      <c r="Z72" s="13"/>
    </row>
    <row r="73" spans="1:26" x14ac:dyDescent="0.2">
      <c r="A73" s="189">
        <v>66</v>
      </c>
      <c r="B73" s="186" t="s">
        <v>208</v>
      </c>
      <c r="C73" s="225">
        <v>1308.73</v>
      </c>
      <c r="D73" s="224">
        <v>12006009.149999999</v>
      </c>
      <c r="E73" s="201">
        <v>9174</v>
      </c>
      <c r="F73" s="201">
        <v>2716971.2046193639</v>
      </c>
      <c r="G73" s="201">
        <v>2076</v>
      </c>
      <c r="H73" s="201">
        <v>1397845.54</v>
      </c>
      <c r="I73" s="201">
        <v>1068</v>
      </c>
      <c r="J73" s="201">
        <v>1484226.2999999998</v>
      </c>
      <c r="K73" s="201">
        <v>1134</v>
      </c>
      <c r="L73" s="201">
        <v>17605052.194619361</v>
      </c>
      <c r="M73" s="188">
        <v>13452</v>
      </c>
      <c r="N73" s="99"/>
      <c r="O73" s="183"/>
      <c r="P73" s="14"/>
      <c r="Q73" s="14"/>
      <c r="R73" s="14"/>
      <c r="S73" s="14"/>
      <c r="T73" s="13"/>
      <c r="U73" s="13"/>
      <c r="V73" s="13"/>
      <c r="W73" s="13"/>
      <c r="X73" s="13"/>
      <c r="Y73" s="13"/>
      <c r="Z73" s="13"/>
    </row>
    <row r="74" spans="1:26" x14ac:dyDescent="0.2">
      <c r="A74" s="189">
        <v>67</v>
      </c>
      <c r="B74" s="186" t="s">
        <v>209</v>
      </c>
      <c r="C74" s="225">
        <v>2047.4999999999998</v>
      </c>
      <c r="D74" s="224">
        <v>5129217.05999998</v>
      </c>
      <c r="E74" s="201">
        <v>2505</v>
      </c>
      <c r="F74" s="201">
        <v>12988610.111599477</v>
      </c>
      <c r="G74" s="201">
        <v>6344</v>
      </c>
      <c r="H74" s="201">
        <v>2270761.46</v>
      </c>
      <c r="I74" s="201">
        <v>1109</v>
      </c>
      <c r="J74" s="201">
        <v>2849073.17</v>
      </c>
      <c r="K74" s="201">
        <v>1391</v>
      </c>
      <c r="L74" s="201">
        <v>23237661.801599458</v>
      </c>
      <c r="M74" s="188">
        <v>11349</v>
      </c>
      <c r="N74" s="99"/>
      <c r="O74" s="183"/>
      <c r="P74" s="14"/>
      <c r="Q74" s="14"/>
      <c r="R74" s="14"/>
      <c r="S74" s="14"/>
      <c r="T74" s="13"/>
      <c r="U74" s="13"/>
      <c r="V74" s="13"/>
      <c r="W74" s="13"/>
      <c r="X74" s="13"/>
      <c r="Y74" s="13"/>
      <c r="Z74" s="13"/>
    </row>
    <row r="75" spans="1:26" x14ac:dyDescent="0.2">
      <c r="A75" s="189">
        <v>68</v>
      </c>
      <c r="B75" s="186" t="s">
        <v>210</v>
      </c>
      <c r="C75" s="225">
        <v>5029.3999999999996</v>
      </c>
      <c r="D75" s="224">
        <v>20267281.629999988</v>
      </c>
      <c r="E75" s="201">
        <v>4030</v>
      </c>
      <c r="F75" s="201">
        <v>22970084.068787806</v>
      </c>
      <c r="G75" s="201">
        <v>4567</v>
      </c>
      <c r="H75" s="201">
        <v>5210358.58</v>
      </c>
      <c r="I75" s="201">
        <v>1036</v>
      </c>
      <c r="J75" s="201">
        <v>5616626.830000001</v>
      </c>
      <c r="K75" s="201">
        <v>1117</v>
      </c>
      <c r="L75" s="201">
        <v>54064351.10878779</v>
      </c>
      <c r="M75" s="188">
        <v>10750</v>
      </c>
      <c r="N75" s="99"/>
      <c r="O75" s="183"/>
      <c r="P75" s="14"/>
      <c r="Q75" s="14"/>
      <c r="R75" s="14"/>
      <c r="S75" s="14"/>
      <c r="T75" s="13"/>
      <c r="U75" s="13"/>
      <c r="V75" s="13"/>
      <c r="W75" s="13"/>
      <c r="X75" s="13"/>
      <c r="Y75" s="13"/>
      <c r="Z75" s="13"/>
    </row>
    <row r="76" spans="1:26" x14ac:dyDescent="0.2">
      <c r="A76" s="189">
        <v>69</v>
      </c>
      <c r="B76" s="186" t="s">
        <v>211</v>
      </c>
      <c r="C76" s="225">
        <v>3364.1099999999997</v>
      </c>
      <c r="D76" s="224">
        <v>10536681.919999994</v>
      </c>
      <c r="E76" s="201">
        <v>3132</v>
      </c>
      <c r="F76" s="201">
        <v>18048863.608198516</v>
      </c>
      <c r="G76" s="201">
        <v>5365</v>
      </c>
      <c r="H76" s="201">
        <v>3747866.12</v>
      </c>
      <c r="I76" s="201">
        <v>1114</v>
      </c>
      <c r="J76" s="201">
        <v>2969750.8799999994</v>
      </c>
      <c r="K76" s="201">
        <v>883</v>
      </c>
      <c r="L76" s="201">
        <v>35303162.52819851</v>
      </c>
      <c r="M76" s="188">
        <v>10494</v>
      </c>
      <c r="N76" s="99"/>
      <c r="O76" s="183"/>
      <c r="P76" s="14"/>
      <c r="Q76" s="14"/>
      <c r="R76" s="14"/>
      <c r="S76" s="14"/>
      <c r="T76" s="13"/>
      <c r="U76" s="13"/>
      <c r="V76" s="13"/>
      <c r="W76" s="13"/>
      <c r="X76" s="13"/>
      <c r="Y76" s="13"/>
      <c r="Z76" s="13"/>
    </row>
    <row r="77" spans="1:26" x14ac:dyDescent="0.2">
      <c r="A77" s="189">
        <v>70</v>
      </c>
      <c r="B77" s="186" t="s">
        <v>212</v>
      </c>
      <c r="C77" s="225">
        <v>2646.37</v>
      </c>
      <c r="D77" s="224">
        <v>6734950.9699999876</v>
      </c>
      <c r="E77" s="201">
        <v>2545</v>
      </c>
      <c r="F77" s="201">
        <v>16085850.4</v>
      </c>
      <c r="G77" s="201">
        <v>6078</v>
      </c>
      <c r="H77" s="201">
        <v>2701565.52</v>
      </c>
      <c r="I77" s="201">
        <v>1021</v>
      </c>
      <c r="J77" s="201">
        <v>2511670.5299999993</v>
      </c>
      <c r="K77" s="201">
        <v>949</v>
      </c>
      <c r="L77" s="201">
        <v>28034037.419999991</v>
      </c>
      <c r="M77" s="188">
        <v>10593</v>
      </c>
      <c r="N77" s="99"/>
      <c r="O77" s="183"/>
      <c r="P77" s="14"/>
      <c r="Q77" s="14"/>
      <c r="R77" s="14"/>
      <c r="S77" s="14"/>
      <c r="T77" s="13"/>
      <c r="U77" s="13"/>
      <c r="V77" s="13"/>
      <c r="W77" s="13"/>
      <c r="X77" s="13"/>
      <c r="Y77" s="13"/>
      <c r="Z77" s="13"/>
    </row>
    <row r="78" spans="1:26" x14ac:dyDescent="0.2">
      <c r="A78" s="189">
        <v>71</v>
      </c>
      <c r="B78" s="186" t="s">
        <v>213</v>
      </c>
      <c r="C78" s="225">
        <v>8895.69</v>
      </c>
      <c r="D78" s="224">
        <v>19051307.130000025</v>
      </c>
      <c r="E78" s="201">
        <v>2142</v>
      </c>
      <c r="F78" s="201">
        <v>52676710.486063376</v>
      </c>
      <c r="G78" s="201">
        <v>5922</v>
      </c>
      <c r="H78" s="201">
        <v>10120979.119999999</v>
      </c>
      <c r="I78" s="201">
        <v>1138</v>
      </c>
      <c r="J78" s="201">
        <v>8290244.9399999995</v>
      </c>
      <c r="K78" s="201">
        <v>932</v>
      </c>
      <c r="L78" s="201">
        <v>90139241.676063403</v>
      </c>
      <c r="M78" s="188">
        <v>10133</v>
      </c>
      <c r="N78" s="99"/>
      <c r="O78" s="183"/>
      <c r="P78" s="14"/>
      <c r="Q78" s="14"/>
      <c r="R78" s="14"/>
      <c r="S78" s="14"/>
      <c r="T78" s="13"/>
      <c r="U78" s="13"/>
      <c r="V78" s="13"/>
      <c r="W78" s="13"/>
      <c r="X78" s="13"/>
      <c r="Y78" s="13"/>
      <c r="Z78" s="13"/>
    </row>
    <row r="79" spans="1:26" x14ac:dyDescent="0.2">
      <c r="A79" s="189">
        <v>72</v>
      </c>
      <c r="B79" s="186" t="s">
        <v>214</v>
      </c>
      <c r="C79" s="225">
        <v>4269.6799999999994</v>
      </c>
      <c r="D79" s="224">
        <v>23171438.069999997</v>
      </c>
      <c r="E79" s="201">
        <v>5427</v>
      </c>
      <c r="F79" s="201">
        <v>17899789.427190367</v>
      </c>
      <c r="G79" s="201">
        <v>4192</v>
      </c>
      <c r="H79" s="201">
        <v>4338488.54</v>
      </c>
      <c r="I79" s="201">
        <v>1016</v>
      </c>
      <c r="J79" s="201">
        <v>1692291.25</v>
      </c>
      <c r="K79" s="201">
        <v>396</v>
      </c>
      <c r="L79" s="201">
        <v>47102007.287190363</v>
      </c>
      <c r="M79" s="188">
        <v>11032</v>
      </c>
      <c r="N79" s="99"/>
      <c r="O79" s="183"/>
      <c r="P79" s="14"/>
      <c r="Q79" s="14"/>
      <c r="R79" s="14"/>
      <c r="S79" s="14"/>
      <c r="T79" s="13"/>
      <c r="U79" s="13"/>
      <c r="V79" s="13"/>
      <c r="W79" s="13"/>
      <c r="X79" s="13"/>
      <c r="Y79" s="13"/>
      <c r="Z79" s="13"/>
    </row>
    <row r="80" spans="1:26" x14ac:dyDescent="0.2">
      <c r="A80" s="189">
        <v>73</v>
      </c>
      <c r="B80" s="186" t="s">
        <v>215</v>
      </c>
      <c r="C80" s="225">
        <v>2043.24</v>
      </c>
      <c r="D80" s="224">
        <v>8352943.4599999934</v>
      </c>
      <c r="E80" s="201">
        <v>4088</v>
      </c>
      <c r="F80" s="201">
        <v>11252979.737290595</v>
      </c>
      <c r="G80" s="201">
        <v>5507</v>
      </c>
      <c r="H80" s="201">
        <v>2776323.52</v>
      </c>
      <c r="I80" s="201">
        <v>1359</v>
      </c>
      <c r="J80" s="201">
        <v>2712510.8200000003</v>
      </c>
      <c r="K80" s="201">
        <v>1328</v>
      </c>
      <c r="L80" s="201">
        <v>25094757.537290588</v>
      </c>
      <c r="M80" s="188">
        <v>12282</v>
      </c>
      <c r="N80" s="99"/>
      <c r="O80" s="183"/>
      <c r="P80" s="14"/>
      <c r="Q80" s="14"/>
      <c r="R80" s="14"/>
      <c r="S80" s="14"/>
      <c r="T80" s="13"/>
      <c r="U80" s="13"/>
      <c r="V80" s="13"/>
      <c r="W80" s="13"/>
      <c r="X80" s="13"/>
      <c r="Y80" s="13"/>
      <c r="Z80" s="13"/>
    </row>
    <row r="81" spans="1:26" x14ac:dyDescent="0.2">
      <c r="A81" s="189">
        <v>74</v>
      </c>
      <c r="B81" s="186" t="s">
        <v>216</v>
      </c>
      <c r="C81" s="225">
        <v>6320.65</v>
      </c>
      <c r="D81" s="224">
        <v>18268390.650000006</v>
      </c>
      <c r="E81" s="201">
        <v>2890</v>
      </c>
      <c r="F81" s="201">
        <v>33897756.64382679</v>
      </c>
      <c r="G81" s="201">
        <v>5363</v>
      </c>
      <c r="H81" s="201">
        <v>5717388.2199999997</v>
      </c>
      <c r="I81" s="201">
        <v>905</v>
      </c>
      <c r="J81" s="201">
        <v>9399971.5399999991</v>
      </c>
      <c r="K81" s="201">
        <v>1487</v>
      </c>
      <c r="L81" s="201">
        <v>67283507.053826794</v>
      </c>
      <c r="M81" s="188">
        <v>10645</v>
      </c>
      <c r="N81" s="99"/>
      <c r="O81" s="183"/>
      <c r="P81" s="14"/>
      <c r="Q81" s="14"/>
      <c r="R81" s="14"/>
      <c r="S81" s="14"/>
      <c r="T81" s="13"/>
      <c r="U81" s="13"/>
      <c r="V81" s="13"/>
      <c r="W81" s="13"/>
      <c r="X81" s="13"/>
      <c r="Y81" s="13"/>
      <c r="Z81" s="13"/>
    </row>
    <row r="82" spans="1:26" x14ac:dyDescent="0.2">
      <c r="A82" s="189">
        <v>75</v>
      </c>
      <c r="B82" s="186" t="s">
        <v>217</v>
      </c>
      <c r="C82" s="225">
        <v>90473.65</v>
      </c>
      <c r="D82" s="224">
        <v>479152055.83999789</v>
      </c>
      <c r="E82" s="201">
        <v>5296</v>
      </c>
      <c r="F82" s="201">
        <v>423532637.2129184</v>
      </c>
      <c r="G82" s="201">
        <v>4681</v>
      </c>
      <c r="H82" s="201">
        <v>85089212.200000003</v>
      </c>
      <c r="I82" s="201">
        <v>940</v>
      </c>
      <c r="J82" s="201">
        <v>66454908.729999989</v>
      </c>
      <c r="K82" s="201">
        <v>735</v>
      </c>
      <c r="L82" s="201">
        <v>1054228813.9829162</v>
      </c>
      <c r="M82" s="188">
        <v>11652</v>
      </c>
      <c r="N82" s="99"/>
      <c r="O82" s="183"/>
      <c r="P82" s="14"/>
      <c r="Q82" s="14"/>
      <c r="R82" s="14"/>
      <c r="S82" s="14"/>
      <c r="T82" s="13"/>
      <c r="U82" s="13"/>
      <c r="V82" s="13"/>
      <c r="W82" s="13"/>
      <c r="X82" s="13"/>
      <c r="Y82" s="13"/>
      <c r="Z82" s="13"/>
    </row>
    <row r="83" spans="1:26" x14ac:dyDescent="0.2">
      <c r="A83" s="189">
        <v>77</v>
      </c>
      <c r="B83" s="186" t="s">
        <v>218</v>
      </c>
      <c r="C83" s="225">
        <v>4150.3099999999995</v>
      </c>
      <c r="D83" s="224">
        <v>15293083.899999965</v>
      </c>
      <c r="E83" s="201">
        <v>3685</v>
      </c>
      <c r="F83" s="201">
        <v>22011159.30401494</v>
      </c>
      <c r="G83" s="201">
        <v>5303</v>
      </c>
      <c r="H83" s="201">
        <v>4788553.54</v>
      </c>
      <c r="I83" s="201">
        <v>1154</v>
      </c>
      <c r="J83" s="201">
        <v>4644709.46</v>
      </c>
      <c r="K83" s="201">
        <v>1119</v>
      </c>
      <c r="L83" s="201">
        <v>46737506.204014905</v>
      </c>
      <c r="M83" s="188">
        <v>11261</v>
      </c>
      <c r="N83" s="99"/>
      <c r="O83" s="183"/>
      <c r="P83" s="14"/>
      <c r="Q83" s="14"/>
      <c r="R83" s="14"/>
      <c r="S83" s="14"/>
      <c r="T83" s="13"/>
      <c r="U83" s="13"/>
      <c r="V83" s="13"/>
      <c r="W83" s="13"/>
      <c r="X83" s="13"/>
      <c r="Y83" s="13"/>
      <c r="Z83" s="13"/>
    </row>
    <row r="84" spans="1:26" x14ac:dyDescent="0.2">
      <c r="A84" s="189">
        <v>78</v>
      </c>
      <c r="B84" s="186" t="s">
        <v>219</v>
      </c>
      <c r="C84" s="225">
        <v>846.3</v>
      </c>
      <c r="D84" s="224">
        <v>8644076.7999999933</v>
      </c>
      <c r="E84" s="201">
        <v>10214</v>
      </c>
      <c r="F84" s="201">
        <v>1900671.04979248</v>
      </c>
      <c r="G84" s="201">
        <v>2246</v>
      </c>
      <c r="H84" s="201">
        <v>1048285.9</v>
      </c>
      <c r="I84" s="201">
        <v>1239</v>
      </c>
      <c r="J84" s="201">
        <v>598433.30000000005</v>
      </c>
      <c r="K84" s="201">
        <v>707</v>
      </c>
      <c r="L84" s="201">
        <v>12191467.049792472</v>
      </c>
      <c r="M84" s="188">
        <v>14406</v>
      </c>
      <c r="N84" s="99"/>
      <c r="O84" s="183"/>
      <c r="P84" s="14"/>
      <c r="Q84" s="14"/>
      <c r="R84" s="14"/>
      <c r="S84" s="14"/>
      <c r="T84" s="13"/>
      <c r="U84" s="13"/>
      <c r="V84" s="13"/>
      <c r="W84" s="13"/>
      <c r="X84" s="13"/>
      <c r="Y84" s="13"/>
      <c r="Z84" s="13"/>
    </row>
    <row r="85" spans="1:26" x14ac:dyDescent="0.2">
      <c r="A85" s="189">
        <v>79</v>
      </c>
      <c r="B85" s="186" t="s">
        <v>220</v>
      </c>
      <c r="C85" s="225">
        <v>1312.62</v>
      </c>
      <c r="D85" s="224">
        <v>4519186.2000000067</v>
      </c>
      <c r="E85" s="201">
        <v>3443</v>
      </c>
      <c r="F85" s="201">
        <v>7533949.3785098204</v>
      </c>
      <c r="G85" s="201">
        <v>5740</v>
      </c>
      <c r="H85" s="201">
        <v>1204666.6000000001</v>
      </c>
      <c r="I85" s="201">
        <v>918</v>
      </c>
      <c r="J85" s="201">
        <v>1308669.08</v>
      </c>
      <c r="K85" s="201">
        <v>997</v>
      </c>
      <c r="L85" s="201">
        <v>14566471.258509828</v>
      </c>
      <c r="M85" s="188">
        <v>11097</v>
      </c>
      <c r="N85" s="99"/>
      <c r="O85" s="183"/>
      <c r="P85" s="14"/>
      <c r="Q85" s="14"/>
      <c r="R85" s="14"/>
      <c r="S85" s="14"/>
      <c r="T85" s="13"/>
      <c r="U85" s="13"/>
      <c r="V85" s="13"/>
      <c r="W85" s="13"/>
      <c r="X85" s="13"/>
      <c r="Y85" s="13"/>
      <c r="Z85" s="13"/>
    </row>
    <row r="86" spans="1:26" x14ac:dyDescent="0.2">
      <c r="A86" s="189">
        <v>80</v>
      </c>
      <c r="B86" s="186" t="s">
        <v>221</v>
      </c>
      <c r="C86" s="225">
        <v>14098.300000000001</v>
      </c>
      <c r="D86" s="224">
        <v>67038886.780000284</v>
      </c>
      <c r="E86" s="201">
        <v>4755</v>
      </c>
      <c r="F86" s="201">
        <v>63147413.191081166</v>
      </c>
      <c r="G86" s="201">
        <v>4479</v>
      </c>
      <c r="H86" s="201">
        <v>15344341.460000001</v>
      </c>
      <c r="I86" s="201">
        <v>1088</v>
      </c>
      <c r="J86" s="201">
        <v>7824577.0099999988</v>
      </c>
      <c r="K86" s="201">
        <v>555</v>
      </c>
      <c r="L86" s="201">
        <v>153355218.44108146</v>
      </c>
      <c r="M86" s="188">
        <v>10878</v>
      </c>
      <c r="N86" s="99"/>
      <c r="O86" s="183"/>
      <c r="P86" s="14"/>
      <c r="Q86" s="14"/>
      <c r="R86" s="14"/>
      <c r="S86" s="14"/>
      <c r="T86" s="13"/>
      <c r="U86" s="13"/>
      <c r="V86" s="13"/>
      <c r="W86" s="13"/>
      <c r="X86" s="13"/>
      <c r="Y86" s="13"/>
      <c r="Z86" s="13"/>
    </row>
    <row r="87" spans="1:26" x14ac:dyDescent="0.2">
      <c r="A87" s="189">
        <v>81</v>
      </c>
      <c r="B87" s="186" t="s">
        <v>222</v>
      </c>
      <c r="C87" s="225">
        <v>2635.2399999999993</v>
      </c>
      <c r="D87" s="224">
        <v>14755746.859999981</v>
      </c>
      <c r="E87" s="201">
        <v>5599</v>
      </c>
      <c r="F87" s="201">
        <v>11809495.199999997</v>
      </c>
      <c r="G87" s="201">
        <v>4481</v>
      </c>
      <c r="H87" s="201">
        <v>3052034.06</v>
      </c>
      <c r="I87" s="201">
        <v>1158</v>
      </c>
      <c r="J87" s="201">
        <v>2546335.9099999997</v>
      </c>
      <c r="K87" s="201">
        <v>966</v>
      </c>
      <c r="L87" s="201">
        <v>32163612.029999979</v>
      </c>
      <c r="M87" s="188">
        <v>12205</v>
      </c>
      <c r="N87" s="99"/>
      <c r="O87" s="183"/>
      <c r="P87" s="14"/>
      <c r="Q87" s="14"/>
      <c r="R87" s="14"/>
      <c r="S87" s="14"/>
      <c r="T87" s="13"/>
      <c r="U87" s="13"/>
      <c r="V87" s="13"/>
      <c r="W87" s="13"/>
      <c r="X87" s="13"/>
      <c r="Y87" s="13"/>
      <c r="Z87" s="13"/>
    </row>
    <row r="88" spans="1:26" x14ac:dyDescent="0.2">
      <c r="A88" s="189">
        <v>82</v>
      </c>
      <c r="B88" s="186" t="s">
        <v>223</v>
      </c>
      <c r="C88" s="225">
        <v>11823.210000000001</v>
      </c>
      <c r="D88" s="224">
        <v>66113511.03000018</v>
      </c>
      <c r="E88" s="201">
        <v>5592</v>
      </c>
      <c r="F88" s="201">
        <v>53240000.377637766</v>
      </c>
      <c r="G88" s="201">
        <v>4503</v>
      </c>
      <c r="H88" s="201">
        <v>12929510.5</v>
      </c>
      <c r="I88" s="201">
        <v>1094</v>
      </c>
      <c r="J88" s="201">
        <v>8327237.1999999993</v>
      </c>
      <c r="K88" s="201">
        <v>704</v>
      </c>
      <c r="L88" s="201">
        <v>140610259.10763794</v>
      </c>
      <c r="M88" s="188">
        <v>11893</v>
      </c>
      <c r="N88" s="99"/>
      <c r="O88" s="183"/>
      <c r="P88" s="14"/>
      <c r="Q88" s="14"/>
      <c r="R88" s="14"/>
      <c r="S88" s="14"/>
      <c r="T88" s="13"/>
      <c r="U88" s="13"/>
      <c r="V88" s="13"/>
      <c r="W88" s="13"/>
      <c r="X88" s="13"/>
      <c r="Y88" s="13"/>
      <c r="Z88" s="13"/>
    </row>
    <row r="89" spans="1:26" x14ac:dyDescent="0.2">
      <c r="A89" s="189">
        <v>83</v>
      </c>
      <c r="B89" s="186" t="s">
        <v>224</v>
      </c>
      <c r="C89" s="225">
        <v>3818.78</v>
      </c>
      <c r="D89" s="224">
        <v>9106000.4999999627</v>
      </c>
      <c r="E89" s="201">
        <v>2385</v>
      </c>
      <c r="F89" s="201">
        <v>22890023.217819747</v>
      </c>
      <c r="G89" s="201">
        <v>5994</v>
      </c>
      <c r="H89" s="201">
        <v>4228088.3600000003</v>
      </c>
      <c r="I89" s="201">
        <v>1107</v>
      </c>
      <c r="J89" s="201">
        <v>5204235.26</v>
      </c>
      <c r="K89" s="201">
        <v>1363</v>
      </c>
      <c r="L89" s="201">
        <v>41428347.33781971</v>
      </c>
      <c r="M89" s="188">
        <v>10849</v>
      </c>
      <c r="N89" s="99"/>
      <c r="O89" s="183"/>
      <c r="P89" s="14"/>
      <c r="Q89" s="14"/>
      <c r="R89" s="14"/>
      <c r="S89" s="14"/>
      <c r="T89" s="13"/>
      <c r="U89" s="13"/>
      <c r="V89" s="13"/>
      <c r="W89" s="13"/>
      <c r="X89" s="13"/>
      <c r="Y89" s="13"/>
      <c r="Z89" s="13"/>
    </row>
    <row r="90" spans="1:26" x14ac:dyDescent="0.2">
      <c r="A90" s="189">
        <v>84</v>
      </c>
      <c r="B90" s="186" t="s">
        <v>225</v>
      </c>
      <c r="C90" s="225">
        <v>3562.44</v>
      </c>
      <c r="D90" s="224">
        <v>5953408.8699999601</v>
      </c>
      <c r="E90" s="201">
        <v>1671</v>
      </c>
      <c r="F90" s="201">
        <v>24320691.069297124</v>
      </c>
      <c r="G90" s="201">
        <v>6827</v>
      </c>
      <c r="H90" s="201">
        <v>3138023.54</v>
      </c>
      <c r="I90" s="201">
        <v>881</v>
      </c>
      <c r="J90" s="201">
        <v>4020517.8400000003</v>
      </c>
      <c r="K90" s="201">
        <v>1129</v>
      </c>
      <c r="L90" s="201">
        <v>37432641.319297083</v>
      </c>
      <c r="M90" s="188">
        <v>10508</v>
      </c>
      <c r="N90" s="99"/>
      <c r="O90" s="183"/>
      <c r="P90" s="14"/>
      <c r="Q90" s="14"/>
      <c r="R90" s="14"/>
      <c r="S90" s="14"/>
      <c r="T90" s="13"/>
      <c r="U90" s="13"/>
      <c r="V90" s="13"/>
      <c r="W90" s="13"/>
      <c r="X90" s="13"/>
      <c r="Y90" s="13"/>
      <c r="Z90" s="13"/>
    </row>
    <row r="91" spans="1:26" x14ac:dyDescent="0.2">
      <c r="A91" s="189">
        <v>85</v>
      </c>
      <c r="B91" s="186" t="s">
        <v>226</v>
      </c>
      <c r="C91" s="225">
        <v>6012.3</v>
      </c>
      <c r="D91" s="224">
        <v>27125098.139999971</v>
      </c>
      <c r="E91" s="201">
        <v>4512</v>
      </c>
      <c r="F91" s="201">
        <v>28527976.507818792</v>
      </c>
      <c r="G91" s="201">
        <v>4745</v>
      </c>
      <c r="H91" s="201">
        <v>6904077.1399999997</v>
      </c>
      <c r="I91" s="201">
        <v>1148</v>
      </c>
      <c r="J91" s="201">
        <v>4226636.42</v>
      </c>
      <c r="K91" s="201">
        <v>703</v>
      </c>
      <c r="L91" s="201">
        <v>66783788.207818761</v>
      </c>
      <c r="M91" s="188">
        <v>11108</v>
      </c>
      <c r="N91" s="99"/>
      <c r="O91" s="183"/>
      <c r="P91" s="14"/>
      <c r="Q91" s="14"/>
      <c r="R91" s="14"/>
      <c r="S91" s="14"/>
      <c r="T91" s="13"/>
      <c r="U91" s="13"/>
      <c r="V91" s="13"/>
      <c r="W91" s="13"/>
      <c r="X91" s="13"/>
      <c r="Y91" s="13"/>
      <c r="Z91" s="13"/>
    </row>
    <row r="92" spans="1:26" x14ac:dyDescent="0.2">
      <c r="A92" s="189">
        <v>86</v>
      </c>
      <c r="B92" s="186" t="s">
        <v>227</v>
      </c>
      <c r="C92" s="225">
        <v>4362.92</v>
      </c>
      <c r="D92" s="224">
        <v>10351405.920000009</v>
      </c>
      <c r="E92" s="201">
        <v>2373</v>
      </c>
      <c r="F92" s="201">
        <v>26936017.519321285</v>
      </c>
      <c r="G92" s="201">
        <v>6174</v>
      </c>
      <c r="H92" s="201">
        <v>4814834.42</v>
      </c>
      <c r="I92" s="201">
        <v>1104</v>
      </c>
      <c r="J92" s="201">
        <v>5276377.3499999996</v>
      </c>
      <c r="K92" s="201">
        <v>1209</v>
      </c>
      <c r="L92" s="201">
        <v>47378635.209321298</v>
      </c>
      <c r="M92" s="188">
        <v>10859</v>
      </c>
      <c r="N92" s="99"/>
      <c r="O92" s="183"/>
      <c r="P92" s="14"/>
      <c r="Q92" s="14"/>
      <c r="R92" s="14"/>
      <c r="S92" s="14"/>
      <c r="T92" s="13"/>
      <c r="U92" s="13"/>
      <c r="V92" s="13"/>
      <c r="W92" s="13"/>
      <c r="X92" s="13"/>
      <c r="Y92" s="13"/>
      <c r="Z92" s="13"/>
    </row>
    <row r="93" spans="1:26" x14ac:dyDescent="0.2">
      <c r="A93" s="189">
        <v>87</v>
      </c>
      <c r="B93" s="186" t="s">
        <v>228</v>
      </c>
      <c r="C93" s="225">
        <v>2812.85</v>
      </c>
      <c r="D93" s="224">
        <v>9322140.1600000001</v>
      </c>
      <c r="E93" s="201">
        <v>3314</v>
      </c>
      <c r="F93" s="201">
        <v>16252923.502366703</v>
      </c>
      <c r="G93" s="201">
        <v>5778</v>
      </c>
      <c r="H93" s="201">
        <v>2722513.9</v>
      </c>
      <c r="I93" s="201">
        <v>968</v>
      </c>
      <c r="J93" s="201">
        <v>2656863.35</v>
      </c>
      <c r="K93" s="201">
        <v>945</v>
      </c>
      <c r="L93" s="201">
        <v>30954440.912366703</v>
      </c>
      <c r="M93" s="188">
        <v>11005</v>
      </c>
      <c r="N93" s="99"/>
      <c r="O93" s="183"/>
      <c r="P93" s="14"/>
      <c r="Q93" s="14"/>
      <c r="R93" s="14"/>
      <c r="S93" s="14"/>
      <c r="T93" s="13"/>
      <c r="U93" s="13"/>
      <c r="V93" s="13"/>
      <c r="W93" s="13"/>
      <c r="X93" s="13"/>
      <c r="Y93" s="13"/>
      <c r="Z93" s="13"/>
    </row>
    <row r="94" spans="1:26" x14ac:dyDescent="0.2">
      <c r="A94" s="189">
        <v>88</v>
      </c>
      <c r="B94" s="186" t="s">
        <v>229</v>
      </c>
      <c r="C94" s="225">
        <v>23718.430000000004</v>
      </c>
      <c r="D94" s="224">
        <v>111183691.93999961</v>
      </c>
      <c r="E94" s="201">
        <v>4688</v>
      </c>
      <c r="F94" s="201">
        <v>106380410.95037091</v>
      </c>
      <c r="G94" s="201">
        <v>4485</v>
      </c>
      <c r="H94" s="201">
        <v>25591946.27</v>
      </c>
      <c r="I94" s="201">
        <v>1079</v>
      </c>
      <c r="J94" s="201">
        <v>15557124.73</v>
      </c>
      <c r="K94" s="201">
        <v>656</v>
      </c>
      <c r="L94" s="201">
        <v>258713173.89037052</v>
      </c>
      <c r="M94" s="188">
        <v>10908</v>
      </c>
      <c r="N94" s="99"/>
      <c r="O94" s="183"/>
      <c r="P94" s="14"/>
      <c r="Q94" s="14"/>
      <c r="R94" s="14"/>
      <c r="S94" s="14"/>
      <c r="T94" s="13"/>
      <c r="U94" s="13"/>
      <c r="V94" s="13"/>
      <c r="W94" s="13"/>
      <c r="X94" s="13"/>
      <c r="Y94" s="13"/>
      <c r="Z94" s="13"/>
    </row>
    <row r="95" spans="1:26" x14ac:dyDescent="0.2">
      <c r="A95" s="189">
        <v>89</v>
      </c>
      <c r="B95" s="186" t="s">
        <v>230</v>
      </c>
      <c r="C95" s="225">
        <v>29027.350000000002</v>
      </c>
      <c r="D95" s="224">
        <v>122264049.21999991</v>
      </c>
      <c r="E95" s="201">
        <v>4212</v>
      </c>
      <c r="F95" s="201">
        <v>129172158.7462631</v>
      </c>
      <c r="G95" s="201">
        <v>4450</v>
      </c>
      <c r="H95" s="201">
        <v>27609115.23</v>
      </c>
      <c r="I95" s="201">
        <v>951</v>
      </c>
      <c r="J95" s="201">
        <v>18346916.32</v>
      </c>
      <c r="K95" s="201">
        <v>632</v>
      </c>
      <c r="L95" s="201">
        <v>297392239.51626301</v>
      </c>
      <c r="M95" s="188">
        <v>10245</v>
      </c>
      <c r="N95" s="99"/>
      <c r="O95" s="183"/>
      <c r="P95" s="14"/>
      <c r="Q95" s="14"/>
      <c r="R95" s="14"/>
      <c r="S95" s="14"/>
      <c r="T95" s="13"/>
      <c r="U95" s="13"/>
      <c r="V95" s="13"/>
      <c r="W95" s="13"/>
      <c r="X95" s="13"/>
      <c r="Y95" s="13"/>
      <c r="Z95" s="13"/>
    </row>
    <row r="96" spans="1:26" x14ac:dyDescent="0.2">
      <c r="A96" s="189">
        <v>90</v>
      </c>
      <c r="B96" s="186" t="s">
        <v>231</v>
      </c>
      <c r="C96" s="225">
        <v>790.1</v>
      </c>
      <c r="D96" s="224">
        <v>12707547.409999996</v>
      </c>
      <c r="E96" s="201">
        <v>16083</v>
      </c>
      <c r="F96" s="201">
        <v>1716924.0529950792</v>
      </c>
      <c r="G96" s="201">
        <v>2173</v>
      </c>
      <c r="H96" s="201">
        <v>908331.9</v>
      </c>
      <c r="I96" s="201">
        <v>1150</v>
      </c>
      <c r="J96" s="201">
        <v>1100611.2299999997</v>
      </c>
      <c r="K96" s="201">
        <v>1393</v>
      </c>
      <c r="L96" s="201">
        <v>16433414.592995076</v>
      </c>
      <c r="M96" s="188">
        <v>20799</v>
      </c>
      <c r="N96" s="99"/>
      <c r="O96" s="183"/>
      <c r="P96" s="14"/>
      <c r="Q96" s="14"/>
      <c r="R96" s="14"/>
      <c r="S96" s="14"/>
      <c r="T96" s="13"/>
      <c r="U96" s="13"/>
      <c r="V96" s="13"/>
      <c r="W96" s="13"/>
      <c r="X96" s="13"/>
      <c r="Y96" s="13"/>
      <c r="Z96" s="13"/>
    </row>
    <row r="97" spans="1:26" x14ac:dyDescent="0.2">
      <c r="A97" s="189">
        <v>91</v>
      </c>
      <c r="B97" s="186" t="s">
        <v>232</v>
      </c>
      <c r="C97" s="225">
        <v>1069.4499999999998</v>
      </c>
      <c r="D97" s="224">
        <v>8534790.349999994</v>
      </c>
      <c r="E97" s="201">
        <v>7981</v>
      </c>
      <c r="F97" s="201">
        <v>6768768.0388748245</v>
      </c>
      <c r="G97" s="201">
        <v>6329</v>
      </c>
      <c r="H97" s="201">
        <v>1299850.3799999999</v>
      </c>
      <c r="I97" s="201">
        <v>1215</v>
      </c>
      <c r="J97" s="201">
        <v>1983609.71</v>
      </c>
      <c r="K97" s="201">
        <v>1855</v>
      </c>
      <c r="L97" s="201">
        <v>18587018.478874817</v>
      </c>
      <c r="M97" s="188">
        <v>17380</v>
      </c>
      <c r="N97" s="99"/>
      <c r="O97" s="183"/>
      <c r="P97" s="14"/>
      <c r="Q97" s="14"/>
      <c r="R97" s="14"/>
      <c r="S97" s="14"/>
      <c r="T97" s="13"/>
      <c r="U97" s="13"/>
      <c r="V97" s="13"/>
      <c r="W97" s="13"/>
      <c r="X97" s="13"/>
      <c r="Y97" s="13"/>
      <c r="Z97" s="13"/>
    </row>
    <row r="98" spans="1:26" x14ac:dyDescent="0.2">
      <c r="A98" s="189">
        <v>92</v>
      </c>
      <c r="B98" s="186" t="s">
        <v>233</v>
      </c>
      <c r="C98" s="225">
        <v>5735.92</v>
      </c>
      <c r="D98" s="224">
        <v>15722386.900000021</v>
      </c>
      <c r="E98" s="201">
        <v>2741</v>
      </c>
      <c r="F98" s="201">
        <v>29381243.088032614</v>
      </c>
      <c r="G98" s="201">
        <v>5122</v>
      </c>
      <c r="H98" s="201">
        <v>6601164.7599999998</v>
      </c>
      <c r="I98" s="201">
        <v>1151</v>
      </c>
      <c r="J98" s="201">
        <v>5996173.870000001</v>
      </c>
      <c r="K98" s="201">
        <v>1045</v>
      </c>
      <c r="L98" s="201">
        <v>57700968.618032634</v>
      </c>
      <c r="M98" s="188">
        <v>10060</v>
      </c>
      <c r="N98" s="99"/>
      <c r="O98" s="183"/>
      <c r="P98" s="14"/>
      <c r="Q98" s="14"/>
      <c r="R98" s="14"/>
      <c r="S98" s="14"/>
      <c r="T98" s="13"/>
      <c r="U98" s="13"/>
      <c r="V98" s="13"/>
      <c r="W98" s="13"/>
      <c r="X98" s="13"/>
      <c r="Y98" s="13"/>
      <c r="Z98" s="13"/>
    </row>
    <row r="99" spans="1:26" x14ac:dyDescent="0.2">
      <c r="A99" s="189">
        <v>93</v>
      </c>
      <c r="B99" s="186" t="s">
        <v>234</v>
      </c>
      <c r="C99" s="225">
        <v>5378.92</v>
      </c>
      <c r="D99" s="224">
        <v>24457854.360000018</v>
      </c>
      <c r="E99" s="201">
        <v>4547</v>
      </c>
      <c r="F99" s="201">
        <v>22765163.923922732</v>
      </c>
      <c r="G99" s="201">
        <v>4232</v>
      </c>
      <c r="H99" s="201">
        <v>6217488.7999999998</v>
      </c>
      <c r="I99" s="201">
        <v>1156</v>
      </c>
      <c r="J99" s="201">
        <v>3709347.6100000003</v>
      </c>
      <c r="K99" s="201">
        <v>690</v>
      </c>
      <c r="L99" s="201">
        <v>57149854.693922751</v>
      </c>
      <c r="M99" s="188">
        <v>10625</v>
      </c>
      <c r="N99" s="99"/>
      <c r="O99" s="183"/>
      <c r="P99" s="14"/>
      <c r="Q99" s="14"/>
      <c r="R99" s="14"/>
      <c r="S99" s="14"/>
      <c r="T99" s="13"/>
      <c r="U99" s="13"/>
      <c r="V99" s="13"/>
      <c r="W99" s="13"/>
      <c r="X99" s="13"/>
      <c r="Y99" s="13"/>
      <c r="Z99" s="13"/>
    </row>
    <row r="100" spans="1:26" x14ac:dyDescent="0.2">
      <c r="A100" s="189">
        <v>94</v>
      </c>
      <c r="B100" s="186" t="s">
        <v>235</v>
      </c>
      <c r="C100" s="225">
        <v>7223.25</v>
      </c>
      <c r="D100" s="224">
        <v>27715944.529999942</v>
      </c>
      <c r="E100" s="201">
        <v>3837</v>
      </c>
      <c r="F100" s="201">
        <v>33591819.355639026</v>
      </c>
      <c r="G100" s="201">
        <v>4651</v>
      </c>
      <c r="H100" s="201">
        <v>7378120.4299999997</v>
      </c>
      <c r="I100" s="201">
        <v>1021</v>
      </c>
      <c r="J100" s="201">
        <v>6054892.7700000014</v>
      </c>
      <c r="K100" s="201">
        <v>838</v>
      </c>
      <c r="L100" s="201">
        <v>74740777.08563897</v>
      </c>
      <c r="M100" s="188">
        <v>10347</v>
      </c>
      <c r="N100" s="99"/>
      <c r="O100" s="183"/>
      <c r="P100" s="14"/>
      <c r="Q100" s="14"/>
      <c r="R100" s="14"/>
      <c r="S100" s="14"/>
      <c r="T100" s="13"/>
      <c r="U100" s="13"/>
      <c r="V100" s="13"/>
      <c r="W100" s="13"/>
      <c r="X100" s="13"/>
      <c r="Y100" s="13"/>
      <c r="Z100" s="13"/>
    </row>
    <row r="101" spans="1:26" x14ac:dyDescent="0.2">
      <c r="A101" s="189">
        <v>95</v>
      </c>
      <c r="B101" s="186" t="s">
        <v>236</v>
      </c>
      <c r="C101" s="225">
        <v>1600.56</v>
      </c>
      <c r="D101" s="224">
        <v>9891166.209999999</v>
      </c>
      <c r="E101" s="201">
        <v>6180</v>
      </c>
      <c r="F101" s="201">
        <v>10753863.268262984</v>
      </c>
      <c r="G101" s="201">
        <v>6719</v>
      </c>
      <c r="H101" s="201">
        <v>1789221.34</v>
      </c>
      <c r="I101" s="201">
        <v>1118</v>
      </c>
      <c r="J101" s="201">
        <v>2040132.2499999998</v>
      </c>
      <c r="K101" s="201">
        <v>1275</v>
      </c>
      <c r="L101" s="201">
        <v>24474383.068262983</v>
      </c>
      <c r="M101" s="188">
        <v>15291</v>
      </c>
      <c r="N101" s="99"/>
      <c r="O101" s="183"/>
      <c r="P101" s="14"/>
      <c r="Q101" s="14"/>
      <c r="R101" s="14"/>
      <c r="S101" s="14"/>
      <c r="T101" s="13"/>
      <c r="U101" s="13"/>
      <c r="V101" s="13"/>
      <c r="W101" s="13"/>
      <c r="X101" s="13"/>
      <c r="Y101" s="13"/>
      <c r="Z101" s="13"/>
    </row>
    <row r="102" spans="1:26" x14ac:dyDescent="0.2">
      <c r="A102" s="189">
        <v>96</v>
      </c>
      <c r="B102" s="186" t="s">
        <v>237</v>
      </c>
      <c r="C102" s="225">
        <v>5759.48</v>
      </c>
      <c r="D102" s="224">
        <v>11975942.63000001</v>
      </c>
      <c r="E102" s="201">
        <v>2079</v>
      </c>
      <c r="F102" s="201">
        <v>32093075.040106434</v>
      </c>
      <c r="G102" s="201">
        <v>5572</v>
      </c>
      <c r="H102" s="201">
        <v>5958725.2000000002</v>
      </c>
      <c r="I102" s="201">
        <v>1035</v>
      </c>
      <c r="J102" s="201">
        <v>6599612.9800000004</v>
      </c>
      <c r="K102" s="201">
        <v>1146</v>
      </c>
      <c r="L102" s="201">
        <v>56627355.850106448</v>
      </c>
      <c r="M102" s="188">
        <v>9832</v>
      </c>
      <c r="N102" s="99"/>
      <c r="O102" s="183"/>
      <c r="P102" s="14"/>
      <c r="Q102" s="14"/>
      <c r="R102" s="14"/>
      <c r="S102" s="14"/>
      <c r="T102" s="13"/>
      <c r="U102" s="13"/>
      <c r="V102" s="13"/>
      <c r="W102" s="13"/>
      <c r="X102" s="13"/>
      <c r="Y102" s="13"/>
      <c r="Z102" s="13"/>
    </row>
    <row r="103" spans="1:26" x14ac:dyDescent="0.2">
      <c r="A103" s="189">
        <v>97</v>
      </c>
      <c r="B103" s="186" t="s">
        <v>238</v>
      </c>
      <c r="C103" s="225">
        <v>4126.3100000000004</v>
      </c>
      <c r="D103" s="224">
        <v>15240580.370000005</v>
      </c>
      <c r="E103" s="201">
        <v>3694</v>
      </c>
      <c r="F103" s="201">
        <v>20908916.793862395</v>
      </c>
      <c r="G103" s="201">
        <v>5067</v>
      </c>
      <c r="H103" s="201">
        <v>4480382.08</v>
      </c>
      <c r="I103" s="201">
        <v>1086</v>
      </c>
      <c r="J103" s="201">
        <v>3301869.82</v>
      </c>
      <c r="K103" s="201">
        <v>800</v>
      </c>
      <c r="L103" s="201">
        <v>43931749.063862398</v>
      </c>
      <c r="M103" s="188">
        <v>10647</v>
      </c>
      <c r="N103" s="99"/>
      <c r="O103" s="183"/>
      <c r="P103" s="14"/>
      <c r="Q103" s="14"/>
      <c r="R103" s="14"/>
      <c r="S103" s="14"/>
      <c r="T103" s="13"/>
      <c r="U103" s="13"/>
      <c r="V103" s="13"/>
      <c r="W103" s="13"/>
      <c r="X103" s="13"/>
      <c r="Y103" s="13"/>
      <c r="Z103" s="13"/>
    </row>
    <row r="104" spans="1:26" x14ac:dyDescent="0.2">
      <c r="A104" s="189">
        <v>98</v>
      </c>
      <c r="B104" s="186" t="s">
        <v>239</v>
      </c>
      <c r="C104" s="225">
        <v>12741.230000000001</v>
      </c>
      <c r="D104" s="224">
        <v>56922248.609999925</v>
      </c>
      <c r="E104" s="201">
        <v>4468</v>
      </c>
      <c r="F104" s="201">
        <v>52019791.997521907</v>
      </c>
      <c r="G104" s="201">
        <v>4083</v>
      </c>
      <c r="H104" s="201">
        <v>13605183.16</v>
      </c>
      <c r="I104" s="201">
        <v>1068</v>
      </c>
      <c r="J104" s="201">
        <v>14627574.870000003</v>
      </c>
      <c r="K104" s="201">
        <v>1148</v>
      </c>
      <c r="L104" s="201">
        <v>137174798.63752183</v>
      </c>
      <c r="M104" s="188">
        <v>10766</v>
      </c>
      <c r="N104" s="99"/>
      <c r="O104" s="183"/>
      <c r="P104" s="14"/>
      <c r="Q104" s="14"/>
      <c r="R104" s="14"/>
      <c r="S104" s="14"/>
      <c r="T104" s="13"/>
      <c r="U104" s="13"/>
      <c r="V104" s="13"/>
      <c r="W104" s="13"/>
      <c r="X104" s="13"/>
      <c r="Y104" s="13"/>
      <c r="Z104" s="13"/>
    </row>
    <row r="105" spans="1:26" x14ac:dyDescent="0.2">
      <c r="A105" s="299"/>
      <c r="B105" s="300" t="s">
        <v>240</v>
      </c>
      <c r="C105" s="301"/>
      <c r="D105" s="302"/>
      <c r="E105" s="302"/>
      <c r="F105" s="302"/>
      <c r="G105" s="302"/>
      <c r="H105" s="302"/>
      <c r="I105" s="302"/>
      <c r="J105" s="302"/>
      <c r="K105" s="302"/>
      <c r="L105" s="302"/>
      <c r="M105" s="303"/>
      <c r="N105" s="13"/>
      <c r="O105" s="14"/>
      <c r="P105" s="14"/>
      <c r="Q105" s="14"/>
      <c r="R105" s="14"/>
      <c r="S105" s="14"/>
      <c r="T105" s="13"/>
      <c r="U105" s="13"/>
      <c r="V105" s="13"/>
      <c r="W105" s="13"/>
      <c r="X105" s="13"/>
      <c r="Y105" s="13"/>
      <c r="Z105" s="13"/>
    </row>
    <row r="106" spans="1:26" x14ac:dyDescent="0.2">
      <c r="A106" s="189">
        <v>101</v>
      </c>
      <c r="B106" s="186" t="s">
        <v>241</v>
      </c>
      <c r="C106" s="225">
        <v>15559.26</v>
      </c>
      <c r="D106" s="224">
        <v>215055032.2899999</v>
      </c>
      <c r="E106" s="201">
        <v>13822</v>
      </c>
      <c r="F106" s="201">
        <v>28664071.680000007</v>
      </c>
      <c r="G106" s="201">
        <v>1842</v>
      </c>
      <c r="H106" s="201">
        <v>17218373.100000001</v>
      </c>
      <c r="I106" s="201">
        <v>1107</v>
      </c>
      <c r="J106" s="201">
        <v>16290757.100000003</v>
      </c>
      <c r="K106" s="201">
        <v>1047</v>
      </c>
      <c r="L106" s="201">
        <v>277228234.1699999</v>
      </c>
      <c r="M106" s="188">
        <v>17818</v>
      </c>
      <c r="N106" s="99"/>
      <c r="O106" s="183"/>
      <c r="P106" s="14"/>
      <c r="Q106" s="14"/>
      <c r="R106" s="14"/>
      <c r="S106" s="14"/>
      <c r="T106" s="13"/>
      <c r="U106" s="13"/>
      <c r="V106" s="13"/>
      <c r="W106" s="13"/>
      <c r="X106" s="13"/>
      <c r="Y106" s="13"/>
      <c r="Z106" s="13"/>
    </row>
    <row r="107" spans="1:26" x14ac:dyDescent="0.2">
      <c r="A107" s="189">
        <v>102</v>
      </c>
      <c r="B107" s="186" t="s">
        <v>242</v>
      </c>
      <c r="C107" s="225">
        <v>2259.3599999999997</v>
      </c>
      <c r="D107" s="224">
        <v>6750561.6099999771</v>
      </c>
      <c r="E107" s="201">
        <v>2988</v>
      </c>
      <c r="F107" s="201">
        <v>12457065.617118327</v>
      </c>
      <c r="G107" s="201">
        <v>5514</v>
      </c>
      <c r="H107" s="201">
        <v>2651738.66</v>
      </c>
      <c r="I107" s="201">
        <v>1174</v>
      </c>
      <c r="J107" s="201">
        <v>3620399.4700000007</v>
      </c>
      <c r="K107" s="201">
        <v>1602</v>
      </c>
      <c r="L107" s="201">
        <v>25479765.357118305</v>
      </c>
      <c r="M107" s="188">
        <v>11277</v>
      </c>
      <c r="N107" s="99"/>
      <c r="O107" s="183"/>
      <c r="P107" s="14"/>
      <c r="Q107" s="14"/>
      <c r="R107" s="14"/>
      <c r="S107" s="14"/>
      <c r="T107" s="13"/>
      <c r="U107" s="13"/>
      <c r="V107" s="13"/>
      <c r="W107" s="13"/>
      <c r="X107" s="13"/>
      <c r="Y107" s="13"/>
      <c r="Z107" s="13"/>
    </row>
    <row r="108" spans="1:26" x14ac:dyDescent="0.2">
      <c r="A108" s="189">
        <v>103</v>
      </c>
      <c r="B108" s="186" t="s">
        <v>243</v>
      </c>
      <c r="C108" s="225">
        <v>923.01</v>
      </c>
      <c r="D108" s="224">
        <v>1420569.700000003</v>
      </c>
      <c r="E108" s="201">
        <v>1539</v>
      </c>
      <c r="F108" s="201">
        <v>6053771.2054961435</v>
      </c>
      <c r="G108" s="201">
        <v>6559</v>
      </c>
      <c r="H108" s="201">
        <v>1008591.94</v>
      </c>
      <c r="I108" s="201">
        <v>1093</v>
      </c>
      <c r="J108" s="201">
        <v>1049235.6099999999</v>
      </c>
      <c r="K108" s="201">
        <v>1137</v>
      </c>
      <c r="L108" s="201">
        <v>9532168.4554961454</v>
      </c>
      <c r="M108" s="188">
        <v>10327</v>
      </c>
      <c r="N108" s="99"/>
      <c r="O108" s="183"/>
      <c r="P108" s="14"/>
      <c r="Q108" s="14"/>
      <c r="R108" s="14"/>
      <c r="S108" s="14"/>
      <c r="T108" s="13"/>
      <c r="U108" s="13"/>
      <c r="V108" s="13"/>
      <c r="W108" s="13"/>
      <c r="X108" s="13"/>
      <c r="Y108" s="13"/>
      <c r="Z108" s="13"/>
    </row>
    <row r="109" spans="1:26" x14ac:dyDescent="0.2">
      <c r="A109" s="189">
        <v>104</v>
      </c>
      <c r="B109" s="186" t="s">
        <v>244</v>
      </c>
      <c r="C109" s="225">
        <v>4448.04</v>
      </c>
      <c r="D109" s="224">
        <v>53572428.44000005</v>
      </c>
      <c r="E109" s="201">
        <v>12044</v>
      </c>
      <c r="F109" s="201">
        <v>12639646.82</v>
      </c>
      <c r="G109" s="201">
        <v>2842</v>
      </c>
      <c r="H109" s="201">
        <v>5045971.54</v>
      </c>
      <c r="I109" s="201">
        <v>1134</v>
      </c>
      <c r="J109" s="201">
        <v>4710155.5699999994</v>
      </c>
      <c r="K109" s="201">
        <v>1059</v>
      </c>
      <c r="L109" s="201">
        <v>75968202.370000049</v>
      </c>
      <c r="M109" s="188">
        <v>17079</v>
      </c>
      <c r="N109" s="99"/>
      <c r="O109" s="183"/>
      <c r="P109" s="14"/>
      <c r="Q109" s="14"/>
      <c r="R109" s="14"/>
      <c r="S109" s="14"/>
      <c r="T109" s="13"/>
      <c r="U109" s="13"/>
      <c r="V109" s="13"/>
      <c r="W109" s="13"/>
      <c r="X109" s="13"/>
      <c r="Y109" s="13"/>
      <c r="Z109" s="13"/>
    </row>
    <row r="110" spans="1:26" x14ac:dyDescent="0.2">
      <c r="A110" s="189">
        <v>106</v>
      </c>
      <c r="B110" s="186" t="s">
        <v>273</v>
      </c>
      <c r="C110" s="225">
        <v>2822.63</v>
      </c>
      <c r="D110" s="224">
        <v>20834478.20000001</v>
      </c>
      <c r="E110" s="201">
        <v>7381</v>
      </c>
      <c r="F110" s="201">
        <v>12401199.444099505</v>
      </c>
      <c r="G110" s="201">
        <v>4393</v>
      </c>
      <c r="H110" s="201">
        <v>2733198.52</v>
      </c>
      <c r="I110" s="201">
        <v>968</v>
      </c>
      <c r="J110" s="201">
        <v>2273404.65</v>
      </c>
      <c r="K110" s="201">
        <v>805</v>
      </c>
      <c r="L110" s="201">
        <v>38242280.814099513</v>
      </c>
      <c r="M110" s="188">
        <v>13548</v>
      </c>
      <c r="N110" s="99"/>
      <c r="O110" s="183"/>
      <c r="P110" s="14"/>
      <c r="Q110" s="14"/>
      <c r="R110" s="14"/>
      <c r="S110" s="14"/>
      <c r="T110" s="13"/>
      <c r="U110" s="13"/>
      <c r="V110" s="13"/>
      <c r="W110" s="13"/>
      <c r="X110" s="13"/>
      <c r="Y110" s="13"/>
      <c r="Z110" s="13"/>
    </row>
    <row r="111" spans="1:26" x14ac:dyDescent="0.2">
      <c r="A111" s="189">
        <v>107</v>
      </c>
      <c r="B111" s="186" t="s">
        <v>246</v>
      </c>
      <c r="C111" s="225">
        <v>1023.23</v>
      </c>
      <c r="D111" s="224">
        <v>4014157.5800000019</v>
      </c>
      <c r="E111" s="201">
        <v>3923</v>
      </c>
      <c r="F111" s="201">
        <v>5839151.3666736623</v>
      </c>
      <c r="G111" s="201">
        <v>5707</v>
      </c>
      <c r="H111" s="201">
        <v>913706.22</v>
      </c>
      <c r="I111" s="201">
        <v>893</v>
      </c>
      <c r="J111" s="201">
        <v>916590.02</v>
      </c>
      <c r="K111" s="201">
        <v>896</v>
      </c>
      <c r="L111" s="201">
        <v>11683605.186673664</v>
      </c>
      <c r="M111" s="188">
        <v>11418</v>
      </c>
      <c r="N111" s="99"/>
      <c r="O111" s="183"/>
      <c r="P111" s="14"/>
      <c r="Q111" s="14"/>
      <c r="R111" s="14"/>
      <c r="S111" s="14"/>
      <c r="T111" s="13"/>
      <c r="U111" s="13"/>
      <c r="V111" s="13"/>
      <c r="W111" s="13"/>
      <c r="X111" s="13"/>
      <c r="Y111" s="13"/>
      <c r="Z111" s="13"/>
    </row>
    <row r="112" spans="1:26" x14ac:dyDescent="0.2">
      <c r="A112" s="189">
        <v>108</v>
      </c>
      <c r="B112" s="186" t="s">
        <v>247</v>
      </c>
      <c r="C112" s="225">
        <v>5766.0400000000009</v>
      </c>
      <c r="D112" s="224">
        <v>20365410.149999984</v>
      </c>
      <c r="E112" s="201">
        <v>3532</v>
      </c>
      <c r="F112" s="201">
        <v>33761579.596797124</v>
      </c>
      <c r="G112" s="201">
        <v>5855</v>
      </c>
      <c r="H112" s="201">
        <v>6665090.9800000004</v>
      </c>
      <c r="I112" s="201">
        <v>1156</v>
      </c>
      <c r="J112" s="201">
        <v>10557272.399999997</v>
      </c>
      <c r="K112" s="201">
        <v>1831</v>
      </c>
      <c r="L112" s="201">
        <v>71349353.12679711</v>
      </c>
      <c r="M112" s="188">
        <v>12374</v>
      </c>
      <c r="N112" s="99"/>
      <c r="O112" s="183"/>
      <c r="P112" s="14"/>
      <c r="Q112" s="14"/>
      <c r="R112" s="14"/>
      <c r="S112" s="14"/>
      <c r="T112" s="13"/>
      <c r="U112" s="13"/>
      <c r="V112" s="13"/>
      <c r="W112" s="13"/>
      <c r="X112" s="13"/>
      <c r="Y112" s="13"/>
      <c r="Z112" s="13"/>
    </row>
    <row r="113" spans="1:26" x14ac:dyDescent="0.2">
      <c r="A113" s="189">
        <v>109</v>
      </c>
      <c r="B113" s="186" t="s">
        <v>248</v>
      </c>
      <c r="C113" s="225">
        <v>2673.26</v>
      </c>
      <c r="D113" s="224">
        <v>44010484.569999993</v>
      </c>
      <c r="E113" s="201">
        <v>16463</v>
      </c>
      <c r="F113" s="201">
        <v>3851988.5604560501</v>
      </c>
      <c r="G113" s="201">
        <v>1441</v>
      </c>
      <c r="H113" s="201">
        <v>2612058.48</v>
      </c>
      <c r="I113" s="201">
        <v>977</v>
      </c>
      <c r="J113" s="201">
        <v>550190.28</v>
      </c>
      <c r="K113" s="201">
        <v>206</v>
      </c>
      <c r="L113" s="201">
        <v>51024721.890456043</v>
      </c>
      <c r="M113" s="188">
        <v>19087</v>
      </c>
      <c r="N113" s="99"/>
      <c r="O113" s="183"/>
      <c r="P113" s="14"/>
      <c r="Q113" s="14"/>
      <c r="R113" s="14"/>
      <c r="S113" s="14"/>
      <c r="T113" s="13"/>
      <c r="U113" s="13"/>
      <c r="V113" s="13"/>
      <c r="W113" s="13"/>
      <c r="X113" s="13"/>
      <c r="Y113" s="13"/>
      <c r="Z113" s="13"/>
    </row>
    <row r="114" spans="1:26" x14ac:dyDescent="0.2">
      <c r="A114" s="189">
        <v>110</v>
      </c>
      <c r="B114" s="186" t="s">
        <v>274</v>
      </c>
      <c r="C114" s="225">
        <v>3597.2299999999996</v>
      </c>
      <c r="D114" s="224">
        <v>30151452.870000027</v>
      </c>
      <c r="E114" s="201">
        <v>8382</v>
      </c>
      <c r="F114" s="201">
        <v>11166425.769999998</v>
      </c>
      <c r="G114" s="201">
        <v>3104</v>
      </c>
      <c r="H114" s="201">
        <v>3390073.32</v>
      </c>
      <c r="I114" s="201">
        <v>942</v>
      </c>
      <c r="J114" s="201">
        <v>4844787.6399999997</v>
      </c>
      <c r="K114" s="201">
        <v>1347</v>
      </c>
      <c r="L114" s="201">
        <v>49552739.600000024</v>
      </c>
      <c r="M114" s="188">
        <v>13775</v>
      </c>
      <c r="N114" s="99"/>
      <c r="O114" s="183"/>
      <c r="P114" s="14"/>
      <c r="Q114" s="14"/>
      <c r="R114" s="14"/>
      <c r="S114" s="14"/>
      <c r="T114" s="13"/>
      <c r="U114" s="13"/>
      <c r="V114" s="13"/>
      <c r="W114" s="13"/>
      <c r="X114" s="13"/>
      <c r="Y114" s="13"/>
      <c r="Z114" s="13"/>
    </row>
    <row r="115" spans="1:26" x14ac:dyDescent="0.2">
      <c r="A115" s="189">
        <v>111</v>
      </c>
      <c r="B115" s="186" t="s">
        <v>249</v>
      </c>
      <c r="C115" s="225">
        <v>1298.3600000000001</v>
      </c>
      <c r="D115" s="224">
        <v>4041282.0900000148</v>
      </c>
      <c r="E115" s="201">
        <v>3113</v>
      </c>
      <c r="F115" s="201">
        <v>7904502.6950373882</v>
      </c>
      <c r="G115" s="201">
        <v>6088</v>
      </c>
      <c r="H115" s="201">
        <v>1215173.6200000001</v>
      </c>
      <c r="I115" s="201">
        <v>936</v>
      </c>
      <c r="J115" s="201">
        <v>1830605.57</v>
      </c>
      <c r="K115" s="201">
        <v>1410</v>
      </c>
      <c r="L115" s="201">
        <v>14991563.975037403</v>
      </c>
      <c r="M115" s="188">
        <v>11547</v>
      </c>
      <c r="N115" s="99"/>
      <c r="O115" s="183"/>
      <c r="P115" s="14"/>
      <c r="Q115" s="14"/>
      <c r="R115" s="14"/>
      <c r="S115" s="14"/>
      <c r="T115" s="13"/>
      <c r="U115" s="13"/>
      <c r="V115" s="13"/>
      <c r="W115" s="13"/>
      <c r="X115" s="13"/>
      <c r="Y115" s="13"/>
      <c r="Z115" s="13"/>
    </row>
    <row r="116" spans="1:26" x14ac:dyDescent="0.2">
      <c r="A116" s="189">
        <v>112</v>
      </c>
      <c r="B116" s="186" t="s">
        <v>250</v>
      </c>
      <c r="C116" s="225">
        <v>19800.439999999999</v>
      </c>
      <c r="D116" s="224">
        <v>77210485.639999926</v>
      </c>
      <c r="E116" s="201">
        <v>3899</v>
      </c>
      <c r="F116" s="201">
        <v>104131686.58899042</v>
      </c>
      <c r="G116" s="201">
        <v>5259</v>
      </c>
      <c r="H116" s="201">
        <v>21734255.420000002</v>
      </c>
      <c r="I116" s="201">
        <v>1098</v>
      </c>
      <c r="J116" s="201">
        <v>22863310.689999998</v>
      </c>
      <c r="K116" s="201">
        <v>1155</v>
      </c>
      <c r="L116" s="201">
        <v>225939738.33899033</v>
      </c>
      <c r="M116" s="188">
        <v>11411</v>
      </c>
      <c r="N116" s="99"/>
      <c r="O116" s="183"/>
      <c r="P116" s="14"/>
      <c r="Q116" s="14"/>
      <c r="R116" s="14"/>
      <c r="S116" s="14"/>
      <c r="T116" s="13"/>
      <c r="U116" s="13"/>
      <c r="V116" s="13"/>
      <c r="W116" s="13"/>
      <c r="X116" s="13"/>
      <c r="Y116" s="13"/>
      <c r="Z116" s="13"/>
    </row>
    <row r="117" spans="1:26" x14ac:dyDescent="0.2">
      <c r="A117" s="189">
        <v>113</v>
      </c>
      <c r="B117" s="186" t="s">
        <v>251</v>
      </c>
      <c r="C117" s="225">
        <v>6256.9</v>
      </c>
      <c r="D117" s="224">
        <v>35080941.579999916</v>
      </c>
      <c r="E117" s="201">
        <v>5607</v>
      </c>
      <c r="F117" s="201">
        <v>32603034.756344929</v>
      </c>
      <c r="G117" s="201">
        <v>5211</v>
      </c>
      <c r="H117" s="201">
        <v>5923083.7800000003</v>
      </c>
      <c r="I117" s="201">
        <v>947</v>
      </c>
      <c r="J117" s="201">
        <v>6649023.3499999996</v>
      </c>
      <c r="K117" s="201">
        <v>1063</v>
      </c>
      <c r="L117" s="201">
        <v>80256083.466344848</v>
      </c>
      <c r="M117" s="188">
        <v>12827</v>
      </c>
      <c r="N117" s="99"/>
      <c r="O117" s="183"/>
      <c r="P117" s="14"/>
      <c r="Q117" s="14"/>
      <c r="R117" s="14"/>
      <c r="S117" s="14"/>
      <c r="T117" s="13"/>
      <c r="U117" s="13"/>
      <c r="V117" s="13"/>
      <c r="W117" s="13"/>
      <c r="X117" s="13"/>
      <c r="Y117" s="13"/>
      <c r="Z117" s="13"/>
    </row>
    <row r="118" spans="1:26" x14ac:dyDescent="0.2">
      <c r="A118" s="189">
        <v>114</v>
      </c>
      <c r="B118" s="186" t="s">
        <v>252</v>
      </c>
      <c r="C118" s="225">
        <v>4287.4399999999996</v>
      </c>
      <c r="D118" s="224">
        <v>11852770.159999982</v>
      </c>
      <c r="E118" s="201">
        <v>2765</v>
      </c>
      <c r="F118" s="201">
        <v>25557087.022578165</v>
      </c>
      <c r="G118" s="201">
        <v>5961</v>
      </c>
      <c r="H118" s="201">
        <v>3924096.6</v>
      </c>
      <c r="I118" s="201">
        <v>915</v>
      </c>
      <c r="J118" s="201">
        <v>7867500.120000001</v>
      </c>
      <c r="K118" s="201">
        <v>1835</v>
      </c>
      <c r="L118" s="201">
        <v>49201453.902578145</v>
      </c>
      <c r="M118" s="188">
        <v>11476</v>
      </c>
      <c r="N118" s="99"/>
      <c r="O118" s="183"/>
      <c r="P118" s="14"/>
      <c r="Q118" s="14"/>
      <c r="R118" s="14"/>
      <c r="S118" s="14"/>
      <c r="T118" s="13"/>
      <c r="U118" s="13"/>
      <c r="V118" s="13"/>
      <c r="W118" s="13"/>
      <c r="X118" s="13"/>
      <c r="Y118" s="13"/>
      <c r="Z118" s="13"/>
    </row>
    <row r="119" spans="1:26" x14ac:dyDescent="0.2">
      <c r="A119" s="189">
        <v>115</v>
      </c>
      <c r="B119" s="186" t="s">
        <v>254</v>
      </c>
      <c r="C119" s="225">
        <v>8310.73</v>
      </c>
      <c r="D119" s="224">
        <v>41191358.809999928</v>
      </c>
      <c r="E119" s="201">
        <v>4956</v>
      </c>
      <c r="F119" s="201">
        <v>42435476.530521482</v>
      </c>
      <c r="G119" s="201">
        <v>5106</v>
      </c>
      <c r="H119" s="201">
        <v>10692439.52</v>
      </c>
      <c r="I119" s="201">
        <v>1287</v>
      </c>
      <c r="J119" s="201">
        <v>13466108.019999998</v>
      </c>
      <c r="K119" s="201">
        <v>1620</v>
      </c>
      <c r="L119" s="201">
        <v>107785382.8805214</v>
      </c>
      <c r="M119" s="188">
        <v>12969</v>
      </c>
      <c r="N119" s="99"/>
      <c r="O119" s="183"/>
      <c r="P119" s="14"/>
      <c r="Q119" s="14"/>
      <c r="R119" s="14"/>
      <c r="S119" s="14"/>
      <c r="T119" s="13"/>
      <c r="U119" s="13"/>
      <c r="V119" s="13"/>
      <c r="W119" s="13"/>
      <c r="X119" s="13"/>
      <c r="Y119" s="13"/>
      <c r="Z119" s="13"/>
    </row>
    <row r="120" spans="1:26" x14ac:dyDescent="0.2">
      <c r="A120" s="189">
        <v>116</v>
      </c>
      <c r="B120" s="186" t="s">
        <v>257</v>
      </c>
      <c r="C120" s="225">
        <v>2019.45</v>
      </c>
      <c r="D120" s="224">
        <v>7106070.0799999908</v>
      </c>
      <c r="E120" s="201">
        <v>3519</v>
      </c>
      <c r="F120" s="201">
        <v>13264925.727823399</v>
      </c>
      <c r="G120" s="201">
        <v>6569</v>
      </c>
      <c r="H120" s="201">
        <v>2207123.48</v>
      </c>
      <c r="I120" s="201">
        <v>1093</v>
      </c>
      <c r="J120" s="201">
        <v>3440961.6200000006</v>
      </c>
      <c r="K120" s="201">
        <v>1704</v>
      </c>
      <c r="L120" s="201">
        <v>26019080.907823391</v>
      </c>
      <c r="M120" s="188">
        <v>12884</v>
      </c>
      <c r="N120" s="99"/>
      <c r="O120" s="183"/>
      <c r="P120" s="14"/>
      <c r="Q120" s="14"/>
      <c r="R120" s="14"/>
      <c r="S120" s="14"/>
      <c r="T120" s="13"/>
      <c r="U120" s="13"/>
      <c r="V120" s="13"/>
      <c r="W120" s="13"/>
      <c r="X120" s="13"/>
      <c r="Y120" s="13"/>
      <c r="Z120" s="13"/>
    </row>
    <row r="121" spans="1:26" x14ac:dyDescent="0.2">
      <c r="A121" s="189">
        <v>117</v>
      </c>
      <c r="B121" s="186" t="s">
        <v>258</v>
      </c>
      <c r="C121" s="225">
        <v>28508.309999999998</v>
      </c>
      <c r="D121" s="224">
        <v>112719012.69999999</v>
      </c>
      <c r="E121" s="201">
        <v>3954</v>
      </c>
      <c r="F121" s="201">
        <v>161615764.75289986</v>
      </c>
      <c r="G121" s="201">
        <v>5669</v>
      </c>
      <c r="H121" s="201">
        <v>28130815.539999999</v>
      </c>
      <c r="I121" s="201">
        <v>987</v>
      </c>
      <c r="J121" s="201">
        <v>38128069</v>
      </c>
      <c r="K121" s="201">
        <v>1337</v>
      </c>
      <c r="L121" s="201">
        <v>340593661.99289984</v>
      </c>
      <c r="M121" s="188">
        <v>11947</v>
      </c>
      <c r="N121" s="99"/>
      <c r="O121" s="183"/>
      <c r="P121" s="14"/>
      <c r="Q121" s="14"/>
      <c r="R121" s="14"/>
      <c r="S121" s="14"/>
      <c r="T121" s="13"/>
      <c r="U121" s="13"/>
      <c r="V121" s="13"/>
      <c r="W121" s="13"/>
      <c r="X121" s="13"/>
      <c r="Y121" s="13"/>
      <c r="Z121" s="13"/>
    </row>
    <row r="122" spans="1:26" x14ac:dyDescent="0.2">
      <c r="A122" s="189">
        <v>118</v>
      </c>
      <c r="B122" s="186" t="s">
        <v>259</v>
      </c>
      <c r="C122" s="225">
        <v>30402.639999999999</v>
      </c>
      <c r="D122" s="224">
        <v>119261537.20999944</v>
      </c>
      <c r="E122" s="201">
        <v>3923</v>
      </c>
      <c r="F122" s="201">
        <v>160240012.82807979</v>
      </c>
      <c r="G122" s="201">
        <v>5271</v>
      </c>
      <c r="H122" s="201">
        <v>30899041.140000001</v>
      </c>
      <c r="I122" s="201">
        <v>1016</v>
      </c>
      <c r="J122" s="201">
        <v>49961705.120000005</v>
      </c>
      <c r="K122" s="201">
        <v>1643</v>
      </c>
      <c r="L122" s="201">
        <v>360362296.29807925</v>
      </c>
      <c r="M122" s="188">
        <v>11853</v>
      </c>
      <c r="N122" s="99"/>
      <c r="O122" s="183"/>
      <c r="P122" s="14"/>
      <c r="Q122" s="14"/>
      <c r="R122" s="14"/>
      <c r="S122" s="14"/>
      <c r="T122" s="13"/>
      <c r="U122" s="13"/>
      <c r="V122" s="13"/>
      <c r="W122" s="13"/>
      <c r="X122" s="13"/>
      <c r="Y122" s="13"/>
      <c r="Z122" s="13"/>
    </row>
    <row r="123" spans="1:26" x14ac:dyDescent="0.2">
      <c r="A123" s="189">
        <v>119</v>
      </c>
      <c r="B123" s="186" t="s">
        <v>260</v>
      </c>
      <c r="C123" s="225">
        <v>804.31000000000006</v>
      </c>
      <c r="D123" s="224">
        <v>1477194.7400000012</v>
      </c>
      <c r="E123" s="201">
        <v>1837</v>
      </c>
      <c r="F123" s="201">
        <v>4314839.259109362</v>
      </c>
      <c r="G123" s="201">
        <v>5365</v>
      </c>
      <c r="H123" s="201">
        <v>745573.58</v>
      </c>
      <c r="I123" s="201">
        <v>927</v>
      </c>
      <c r="J123" s="201">
        <v>877704.11</v>
      </c>
      <c r="K123" s="201">
        <v>1091</v>
      </c>
      <c r="L123" s="201">
        <v>7415311.6891093636</v>
      </c>
      <c r="M123" s="188">
        <v>9219</v>
      </c>
      <c r="N123" s="99"/>
      <c r="O123" s="183"/>
      <c r="P123" s="14"/>
      <c r="Q123" s="14"/>
      <c r="R123" s="14"/>
      <c r="S123" s="14"/>
      <c r="T123" s="13"/>
      <c r="U123" s="13"/>
      <c r="V123" s="13"/>
      <c r="W123" s="13"/>
      <c r="X123" s="13"/>
      <c r="Y123" s="13"/>
      <c r="Z123" s="13"/>
    </row>
    <row r="124" spans="1:26" x14ac:dyDescent="0.2">
      <c r="A124" s="189">
        <v>120</v>
      </c>
      <c r="B124" s="186" t="s">
        <v>261</v>
      </c>
      <c r="C124" s="225">
        <v>4132.75</v>
      </c>
      <c r="D124" s="224">
        <v>9139922.1700000092</v>
      </c>
      <c r="E124" s="201">
        <v>2212</v>
      </c>
      <c r="F124" s="201">
        <v>27140564.919580806</v>
      </c>
      <c r="G124" s="201">
        <v>6567</v>
      </c>
      <c r="H124" s="201">
        <v>4227588.8600000003</v>
      </c>
      <c r="I124" s="201">
        <v>1023</v>
      </c>
      <c r="J124" s="201">
        <v>10917629.65</v>
      </c>
      <c r="K124" s="201">
        <v>2642</v>
      </c>
      <c r="L124" s="201">
        <v>51425705.599580817</v>
      </c>
      <c r="M124" s="188">
        <v>12443</v>
      </c>
      <c r="N124" s="99"/>
      <c r="O124" s="183"/>
      <c r="P124" s="14"/>
      <c r="Q124" s="14"/>
      <c r="R124" s="14"/>
      <c r="S124" s="14"/>
      <c r="T124" s="13"/>
      <c r="U124" s="13"/>
      <c r="V124" s="13"/>
      <c r="W124" s="13"/>
      <c r="X124" s="13"/>
      <c r="Y124" s="13"/>
      <c r="Z124" s="13"/>
    </row>
    <row r="125" spans="1:26" x14ac:dyDescent="0.2">
      <c r="A125" s="189">
        <v>121</v>
      </c>
      <c r="B125" s="186" t="s">
        <v>263</v>
      </c>
      <c r="C125" s="225">
        <v>14136.849999999999</v>
      </c>
      <c r="D125" s="224">
        <v>53730399.919999704</v>
      </c>
      <c r="E125" s="201">
        <v>3801</v>
      </c>
      <c r="F125" s="201">
        <v>79779281.094959468</v>
      </c>
      <c r="G125" s="201">
        <v>5643</v>
      </c>
      <c r="H125" s="201">
        <v>15511059.48</v>
      </c>
      <c r="I125" s="201">
        <v>1097</v>
      </c>
      <c r="J125" s="201">
        <v>19380170.849999994</v>
      </c>
      <c r="K125" s="201">
        <v>1371</v>
      </c>
      <c r="L125" s="201">
        <v>168400911.34495917</v>
      </c>
      <c r="M125" s="188">
        <v>11912</v>
      </c>
      <c r="N125" s="99"/>
      <c r="O125" s="183"/>
      <c r="P125" s="14"/>
      <c r="Q125" s="14"/>
      <c r="R125" s="14"/>
      <c r="S125" s="14"/>
      <c r="T125" s="13"/>
      <c r="U125" s="13"/>
      <c r="V125" s="13"/>
      <c r="W125" s="13"/>
      <c r="X125" s="13"/>
      <c r="Y125" s="13"/>
      <c r="Z125" s="13"/>
    </row>
    <row r="126" spans="1:26" x14ac:dyDescent="0.2">
      <c r="A126" s="189">
        <v>122</v>
      </c>
      <c r="B126" s="186" t="s">
        <v>264</v>
      </c>
      <c r="C126" s="225">
        <v>1618.2299999999998</v>
      </c>
      <c r="D126" s="224">
        <v>5026860.9900000058</v>
      </c>
      <c r="E126" s="201">
        <v>3106</v>
      </c>
      <c r="F126" s="201">
        <v>8971101.4356187992</v>
      </c>
      <c r="G126" s="201">
        <v>5544</v>
      </c>
      <c r="H126" s="201">
        <v>1676682.6</v>
      </c>
      <c r="I126" s="201">
        <v>1036</v>
      </c>
      <c r="J126" s="201">
        <v>1563451.6</v>
      </c>
      <c r="K126" s="201">
        <v>966</v>
      </c>
      <c r="L126" s="201">
        <v>17238096.625618804</v>
      </c>
      <c r="M126" s="188">
        <v>10652</v>
      </c>
      <c r="N126" s="99"/>
      <c r="O126" s="183"/>
      <c r="P126" s="14"/>
      <c r="Q126" s="14"/>
      <c r="R126" s="14"/>
      <c r="S126" s="14"/>
      <c r="T126" s="13"/>
      <c r="U126" s="13"/>
      <c r="V126" s="13"/>
      <c r="W126" s="13"/>
      <c r="X126" s="13"/>
      <c r="Y126" s="13"/>
      <c r="Z126" s="13"/>
    </row>
    <row r="127" spans="1:26" x14ac:dyDescent="0.2">
      <c r="A127" s="189">
        <v>123</v>
      </c>
      <c r="B127" s="186" t="s">
        <v>220</v>
      </c>
      <c r="C127" s="225">
        <v>24693.300000000003</v>
      </c>
      <c r="D127" s="224">
        <v>153318147.06999993</v>
      </c>
      <c r="E127" s="201">
        <v>6209</v>
      </c>
      <c r="F127" s="201">
        <v>115813741.6212585</v>
      </c>
      <c r="G127" s="201">
        <v>4690</v>
      </c>
      <c r="H127" s="201">
        <v>26440645.59</v>
      </c>
      <c r="I127" s="201">
        <v>1071</v>
      </c>
      <c r="J127" s="201">
        <v>62396442.650000006</v>
      </c>
      <c r="K127" s="201">
        <v>2527</v>
      </c>
      <c r="L127" s="201">
        <v>357968976.93125844</v>
      </c>
      <c r="M127" s="188">
        <v>14497</v>
      </c>
      <c r="N127" s="99"/>
      <c r="O127" s="183"/>
      <c r="P127" s="14"/>
      <c r="Q127" s="14"/>
      <c r="R127" s="14"/>
      <c r="S127" s="14"/>
      <c r="T127" s="13"/>
      <c r="U127" s="13"/>
      <c r="V127" s="13"/>
      <c r="W127" s="13"/>
      <c r="X127" s="13"/>
      <c r="Y127" s="13"/>
      <c r="Z127" s="13"/>
    </row>
    <row r="128" spans="1:26" x14ac:dyDescent="0.2">
      <c r="A128" s="189">
        <v>124</v>
      </c>
      <c r="B128" s="186" t="s">
        <v>221</v>
      </c>
      <c r="C128" s="225">
        <v>13601.209999999997</v>
      </c>
      <c r="D128" s="224">
        <v>68673701.689999923</v>
      </c>
      <c r="E128" s="201">
        <v>5049</v>
      </c>
      <c r="F128" s="201">
        <v>75426694.403798625</v>
      </c>
      <c r="G128" s="201">
        <v>5546</v>
      </c>
      <c r="H128" s="201">
        <v>14369198.619999999</v>
      </c>
      <c r="I128" s="201">
        <v>1056</v>
      </c>
      <c r="J128" s="201">
        <v>23189931.229999993</v>
      </c>
      <c r="K128" s="201">
        <v>1705</v>
      </c>
      <c r="L128" s="201">
        <v>181659525.94379854</v>
      </c>
      <c r="M128" s="188">
        <v>13356</v>
      </c>
      <c r="N128" s="99"/>
      <c r="O128" s="183"/>
      <c r="P128" s="14"/>
      <c r="Q128" s="14"/>
      <c r="R128" s="14"/>
      <c r="S128" s="14"/>
      <c r="T128" s="13"/>
      <c r="U128" s="13"/>
      <c r="V128" s="13"/>
      <c r="W128" s="13"/>
      <c r="X128" s="13"/>
      <c r="Y128" s="13"/>
      <c r="Z128" s="13"/>
    </row>
    <row r="129" spans="1:26" x14ac:dyDescent="0.2">
      <c r="A129" s="189">
        <v>126</v>
      </c>
      <c r="B129" s="186" t="s">
        <v>266</v>
      </c>
      <c r="C129" s="225">
        <v>2678.85</v>
      </c>
      <c r="D129" s="224">
        <v>12064959.999999974</v>
      </c>
      <c r="E129" s="201">
        <v>4504</v>
      </c>
      <c r="F129" s="201">
        <v>12419973.891705569</v>
      </c>
      <c r="G129" s="201">
        <v>4636</v>
      </c>
      <c r="H129" s="201">
        <v>3413456.16</v>
      </c>
      <c r="I129" s="201">
        <v>1274</v>
      </c>
      <c r="J129" s="201">
        <v>2850528.5000000005</v>
      </c>
      <c r="K129" s="201">
        <v>1064</v>
      </c>
      <c r="L129" s="201">
        <v>30748918.551705543</v>
      </c>
      <c r="M129" s="188">
        <v>11478</v>
      </c>
      <c r="N129" s="99"/>
      <c r="O129" s="183"/>
      <c r="P129" s="14"/>
      <c r="Q129" s="14"/>
      <c r="R129" s="14"/>
      <c r="S129" s="14"/>
      <c r="T129" s="13"/>
      <c r="U129" s="13"/>
      <c r="V129" s="13"/>
      <c r="W129" s="13"/>
      <c r="X129" s="13"/>
      <c r="Y129" s="13"/>
      <c r="Z129" s="13"/>
    </row>
    <row r="130" spans="1:26" x14ac:dyDescent="0.2">
      <c r="A130" s="189">
        <v>127</v>
      </c>
      <c r="B130" s="186" t="s">
        <v>267</v>
      </c>
      <c r="C130" s="225">
        <v>14335.789999999999</v>
      </c>
      <c r="D130" s="224">
        <v>56831711.449999869</v>
      </c>
      <c r="E130" s="201">
        <v>3964</v>
      </c>
      <c r="F130" s="201">
        <v>67119349.284754798</v>
      </c>
      <c r="G130" s="201">
        <v>4682</v>
      </c>
      <c r="H130" s="201">
        <v>16898295.460000001</v>
      </c>
      <c r="I130" s="201">
        <v>1179</v>
      </c>
      <c r="J130" s="201">
        <v>13504824.930000002</v>
      </c>
      <c r="K130" s="201">
        <v>942</v>
      </c>
      <c r="L130" s="201">
        <v>154354181.12475467</v>
      </c>
      <c r="M130" s="188">
        <v>10767</v>
      </c>
      <c r="N130" s="99"/>
      <c r="O130" s="183"/>
      <c r="P130" s="14"/>
      <c r="Q130" s="14"/>
      <c r="R130" s="14"/>
      <c r="S130" s="14"/>
      <c r="T130" s="13"/>
      <c r="U130" s="13"/>
      <c r="V130" s="13"/>
      <c r="W130" s="13"/>
      <c r="X130" s="13"/>
      <c r="Y130" s="13"/>
      <c r="Z130" s="13"/>
    </row>
    <row r="131" spans="1:26" x14ac:dyDescent="0.2">
      <c r="A131" s="189">
        <v>128</v>
      </c>
      <c r="B131" s="186" t="s">
        <v>275</v>
      </c>
      <c r="C131" s="225">
        <v>68808.11</v>
      </c>
      <c r="D131" s="224">
        <v>402423382.13000029</v>
      </c>
      <c r="E131" s="201">
        <v>5848</v>
      </c>
      <c r="F131" s="201">
        <v>290273281.8720358</v>
      </c>
      <c r="G131" s="201">
        <v>4219</v>
      </c>
      <c r="H131" s="201">
        <v>74264874.480000004</v>
      </c>
      <c r="I131" s="201">
        <v>1079</v>
      </c>
      <c r="J131" s="201">
        <v>60269073.779999994</v>
      </c>
      <c r="K131" s="201">
        <v>876</v>
      </c>
      <c r="L131" s="201">
        <v>827230612.26203609</v>
      </c>
      <c r="M131" s="188">
        <v>12022</v>
      </c>
      <c r="N131" s="99"/>
      <c r="O131" s="183"/>
      <c r="P131" s="14"/>
      <c r="Q131" s="14"/>
      <c r="R131" s="14"/>
      <c r="S131" s="14"/>
      <c r="T131" s="13"/>
      <c r="U131" s="13"/>
      <c r="V131" s="13"/>
      <c r="W131" s="13"/>
      <c r="X131" s="13"/>
      <c r="Y131" s="13"/>
      <c r="Z131" s="13"/>
    </row>
    <row r="132" spans="1:26" x14ac:dyDescent="0.2">
      <c r="A132" s="189">
        <v>130</v>
      </c>
      <c r="B132" s="186" t="s">
        <v>268</v>
      </c>
      <c r="C132" s="225">
        <v>3053.93</v>
      </c>
      <c r="D132" s="224">
        <v>14846988.309999995</v>
      </c>
      <c r="E132" s="201">
        <v>4862</v>
      </c>
      <c r="F132" s="201">
        <v>14540772.8962023</v>
      </c>
      <c r="G132" s="201">
        <v>4761</v>
      </c>
      <c r="H132" s="201">
        <v>3391198.78</v>
      </c>
      <c r="I132" s="201">
        <v>1110</v>
      </c>
      <c r="J132" s="201">
        <v>3504852.3800000004</v>
      </c>
      <c r="K132" s="201">
        <v>1148</v>
      </c>
      <c r="L132" s="201">
        <v>36283812.366202295</v>
      </c>
      <c r="M132" s="188">
        <v>11881</v>
      </c>
      <c r="N132" s="99"/>
      <c r="O132" s="183"/>
      <c r="P132" s="14"/>
      <c r="Q132" s="14"/>
      <c r="R132" s="14"/>
      <c r="S132" s="14"/>
      <c r="T132" s="13"/>
      <c r="U132" s="13"/>
      <c r="V132" s="13"/>
      <c r="W132" s="13"/>
      <c r="X132" s="13"/>
      <c r="Y132" s="13"/>
      <c r="Z132" s="13"/>
    </row>
    <row r="133" spans="1:26" ht="13.5" x14ac:dyDescent="0.2">
      <c r="A133" s="189">
        <v>131</v>
      </c>
      <c r="B133" s="186" t="s">
        <v>653</v>
      </c>
      <c r="C133" s="225">
        <v>11663.09</v>
      </c>
      <c r="D133" s="224">
        <v>87210249.879999965</v>
      </c>
      <c r="E133" s="201">
        <v>7477</v>
      </c>
      <c r="F133" s="201">
        <v>32685754.623398934</v>
      </c>
      <c r="G133" s="201">
        <v>2802</v>
      </c>
      <c r="H133" s="201">
        <v>12201274.34</v>
      </c>
      <c r="I133" s="201">
        <v>1046</v>
      </c>
      <c r="J133" s="201">
        <v>5884625.040000001</v>
      </c>
      <c r="K133" s="201">
        <v>505</v>
      </c>
      <c r="L133" s="201">
        <v>137981903.88339889</v>
      </c>
      <c r="M133" s="188">
        <v>11831</v>
      </c>
      <c r="N133" s="99"/>
      <c r="O133" s="183"/>
      <c r="P133" s="14"/>
      <c r="Q133" s="14"/>
      <c r="R133" s="14"/>
      <c r="S133" s="14"/>
      <c r="T133" s="13"/>
      <c r="U133" s="13"/>
      <c r="V133" s="13"/>
      <c r="W133" s="13"/>
      <c r="X133" s="13"/>
      <c r="Y133" s="13"/>
      <c r="Z133" s="13"/>
    </row>
    <row r="134" spans="1:26" x14ac:dyDescent="0.2">
      <c r="A134" s="189">
        <v>132</v>
      </c>
      <c r="B134" s="186" t="s">
        <v>269</v>
      </c>
      <c r="C134" s="225">
        <v>4333.5099999999993</v>
      </c>
      <c r="D134" s="224">
        <v>30350522.450000096</v>
      </c>
      <c r="E134" s="201">
        <v>7004</v>
      </c>
      <c r="F134" s="201">
        <v>19867110.329162508</v>
      </c>
      <c r="G134" s="201">
        <v>4585</v>
      </c>
      <c r="H134" s="201">
        <v>4087822.36</v>
      </c>
      <c r="I134" s="201">
        <v>943</v>
      </c>
      <c r="J134" s="201">
        <v>4793597.3</v>
      </c>
      <c r="K134" s="201">
        <v>1106</v>
      </c>
      <c r="L134" s="201">
        <v>59099052.439162605</v>
      </c>
      <c r="M134" s="188">
        <v>13638</v>
      </c>
      <c r="N134" s="99"/>
      <c r="O134" s="183"/>
      <c r="P134" s="14"/>
      <c r="Q134" s="14"/>
      <c r="R134" s="14"/>
      <c r="S134" s="14"/>
      <c r="T134" s="13"/>
      <c r="U134" s="13"/>
      <c r="V134" s="13"/>
      <c r="W134" s="13"/>
      <c r="X134" s="13"/>
      <c r="Y134" s="13"/>
      <c r="Z134" s="13"/>
    </row>
    <row r="135" spans="1:26" x14ac:dyDescent="0.2">
      <c r="A135" s="189">
        <v>135</v>
      </c>
      <c r="B135" s="186" t="s">
        <v>179</v>
      </c>
      <c r="C135" s="225">
        <v>1095.1899999999998</v>
      </c>
      <c r="D135" s="224">
        <v>4335307.8999999817</v>
      </c>
      <c r="E135" s="201">
        <v>3958</v>
      </c>
      <c r="F135" s="201">
        <v>6987161.4262355622</v>
      </c>
      <c r="G135" s="201">
        <v>6380</v>
      </c>
      <c r="H135" s="201">
        <v>1489165.8</v>
      </c>
      <c r="I135" s="201">
        <v>1360</v>
      </c>
      <c r="J135" s="201">
        <v>2413428.4499999997</v>
      </c>
      <c r="K135" s="201">
        <v>2204</v>
      </c>
      <c r="L135" s="201">
        <v>15225063.576235544</v>
      </c>
      <c r="M135" s="188">
        <v>13902</v>
      </c>
      <c r="N135" s="99"/>
      <c r="O135" s="183"/>
      <c r="P135" s="14"/>
      <c r="Q135" s="14"/>
      <c r="R135" s="14"/>
      <c r="S135" s="14"/>
      <c r="T135" s="13"/>
      <c r="U135" s="13"/>
      <c r="V135" s="13"/>
      <c r="W135" s="13"/>
      <c r="X135" s="13"/>
      <c r="Y135" s="13"/>
      <c r="Z135" s="13"/>
    </row>
    <row r="136" spans="1:26" x14ac:dyDescent="0.2">
      <c r="A136" s="189">
        <v>136</v>
      </c>
      <c r="B136" s="186" t="s">
        <v>245</v>
      </c>
      <c r="C136" s="225">
        <v>40716.620000000003</v>
      </c>
      <c r="D136" s="224">
        <v>203003147.36000031</v>
      </c>
      <c r="E136" s="201">
        <v>4986</v>
      </c>
      <c r="F136" s="201">
        <v>195279627.58298662</v>
      </c>
      <c r="G136" s="201">
        <v>4796</v>
      </c>
      <c r="H136" s="201">
        <v>44255465.340000004</v>
      </c>
      <c r="I136" s="201">
        <v>1087</v>
      </c>
      <c r="J136" s="201">
        <v>30414255.729999997</v>
      </c>
      <c r="K136" s="201">
        <v>747</v>
      </c>
      <c r="L136" s="201">
        <v>472952496.01298696</v>
      </c>
      <c r="M136" s="188">
        <v>11616</v>
      </c>
      <c r="N136" s="99"/>
      <c r="O136" s="183"/>
      <c r="P136" s="14"/>
      <c r="Q136" s="14"/>
      <c r="R136" s="14"/>
      <c r="S136" s="14"/>
      <c r="T136" s="13"/>
      <c r="U136" s="13"/>
      <c r="V136" s="13"/>
      <c r="W136" s="13"/>
      <c r="X136" s="13"/>
      <c r="Y136" s="13"/>
      <c r="Z136" s="13"/>
    </row>
    <row r="137" spans="1:26" x14ac:dyDescent="0.2">
      <c r="A137" s="189">
        <v>137</v>
      </c>
      <c r="B137" s="186" t="s">
        <v>253</v>
      </c>
      <c r="C137" s="225">
        <v>659.43999999999994</v>
      </c>
      <c r="D137" s="224">
        <v>3169145.3800000022</v>
      </c>
      <c r="E137" s="201">
        <v>4806</v>
      </c>
      <c r="F137" s="201">
        <v>2700804.5299999993</v>
      </c>
      <c r="G137" s="201">
        <v>4096</v>
      </c>
      <c r="H137" s="201">
        <v>650276.24</v>
      </c>
      <c r="I137" s="201">
        <v>986</v>
      </c>
      <c r="J137" s="201">
        <v>297567.43</v>
      </c>
      <c r="K137" s="201">
        <v>451</v>
      </c>
      <c r="L137" s="201">
        <v>6817793.5800000019</v>
      </c>
      <c r="M137" s="188">
        <v>10339</v>
      </c>
      <c r="N137" s="99"/>
      <c r="O137" s="183"/>
      <c r="P137" s="14"/>
      <c r="Q137" s="14"/>
      <c r="R137" s="14"/>
      <c r="S137" s="14"/>
      <c r="T137" s="13"/>
      <c r="U137" s="13"/>
      <c r="V137" s="13"/>
      <c r="W137" s="13"/>
      <c r="X137" s="13"/>
      <c r="Y137" s="13"/>
      <c r="Z137" s="13"/>
    </row>
    <row r="138" spans="1:26" x14ac:dyDescent="0.2">
      <c r="A138" s="189">
        <v>139</v>
      </c>
      <c r="B138" s="186" t="s">
        <v>265</v>
      </c>
      <c r="C138" s="225">
        <v>3945.02</v>
      </c>
      <c r="D138" s="224">
        <v>19936858.189999986</v>
      </c>
      <c r="E138" s="201">
        <v>5054</v>
      </c>
      <c r="F138" s="201">
        <v>17482408.286169175</v>
      </c>
      <c r="G138" s="201">
        <v>4432</v>
      </c>
      <c r="H138" s="201">
        <v>3611352.3</v>
      </c>
      <c r="I138" s="201">
        <v>915</v>
      </c>
      <c r="J138" s="201">
        <v>2516434.6199999996</v>
      </c>
      <c r="K138" s="201">
        <v>638</v>
      </c>
      <c r="L138" s="201">
        <v>43547053.396169163</v>
      </c>
      <c r="M138" s="188">
        <v>11038</v>
      </c>
      <c r="N138" s="99"/>
      <c r="O138" s="183"/>
      <c r="P138" s="14"/>
      <c r="Q138" s="14"/>
      <c r="R138" s="14"/>
      <c r="S138" s="14"/>
      <c r="T138" s="13"/>
      <c r="U138" s="13"/>
      <c r="V138" s="13"/>
      <c r="W138" s="13"/>
      <c r="X138" s="13"/>
      <c r="Y138" s="13"/>
      <c r="Z138" s="13"/>
    </row>
    <row r="139" spans="1:26" x14ac:dyDescent="0.2">
      <c r="A139" s="189">
        <v>142</v>
      </c>
      <c r="B139" s="186" t="s">
        <v>262</v>
      </c>
      <c r="C139" s="225">
        <v>2114.8200000000002</v>
      </c>
      <c r="D139" s="224">
        <v>10859044.779999975</v>
      </c>
      <c r="E139" s="201">
        <v>5135</v>
      </c>
      <c r="F139" s="201">
        <v>9073022.2915108968</v>
      </c>
      <c r="G139" s="201">
        <v>4290</v>
      </c>
      <c r="H139" s="201">
        <v>2352258.7599999998</v>
      </c>
      <c r="I139" s="201">
        <v>1112</v>
      </c>
      <c r="J139" s="201">
        <v>1210091.1400000001</v>
      </c>
      <c r="K139" s="201">
        <v>572</v>
      </c>
      <c r="L139" s="201">
        <v>23494416.971510872</v>
      </c>
      <c r="M139" s="188">
        <v>11109</v>
      </c>
      <c r="N139" s="99"/>
      <c r="O139" s="183"/>
      <c r="P139" s="14"/>
      <c r="Q139" s="14"/>
      <c r="R139" s="14"/>
      <c r="S139" s="14"/>
      <c r="T139" s="13"/>
      <c r="U139" s="13"/>
      <c r="V139" s="13"/>
      <c r="W139" s="13"/>
      <c r="X139" s="13"/>
      <c r="Y139" s="13"/>
      <c r="Z139" s="13"/>
    </row>
    <row r="140" spans="1:26" x14ac:dyDescent="0.2">
      <c r="A140" s="189">
        <v>143</v>
      </c>
      <c r="B140" s="186" t="s">
        <v>255</v>
      </c>
      <c r="C140" s="225">
        <v>7783.2900000000009</v>
      </c>
      <c r="D140" s="224">
        <v>46151635.709999822</v>
      </c>
      <c r="E140" s="201">
        <v>5930</v>
      </c>
      <c r="F140" s="201">
        <v>42797359.651937671</v>
      </c>
      <c r="G140" s="201">
        <v>5499</v>
      </c>
      <c r="H140" s="201">
        <v>7294878.5800000001</v>
      </c>
      <c r="I140" s="201">
        <v>937</v>
      </c>
      <c r="J140" s="201">
        <v>5925607.1900000004</v>
      </c>
      <c r="K140" s="201">
        <v>761</v>
      </c>
      <c r="L140" s="201">
        <v>102169481.13193749</v>
      </c>
      <c r="M140" s="188">
        <v>13127</v>
      </c>
      <c r="N140" s="99"/>
      <c r="O140" s="183"/>
      <c r="P140" s="14"/>
      <c r="Q140" s="14"/>
      <c r="R140" s="14"/>
      <c r="S140" s="14"/>
      <c r="T140" s="13"/>
      <c r="U140" s="13"/>
      <c r="V140" s="13"/>
      <c r="W140" s="13"/>
      <c r="X140" s="13"/>
      <c r="Y140" s="13"/>
      <c r="Z140" s="13"/>
    </row>
    <row r="141" spans="1:26" x14ac:dyDescent="0.2">
      <c r="A141" s="189">
        <v>144</v>
      </c>
      <c r="B141" s="186" t="s">
        <v>256</v>
      </c>
      <c r="C141" s="225">
        <v>3710.6700000000005</v>
      </c>
      <c r="D141" s="224">
        <v>12554679.229999986</v>
      </c>
      <c r="E141" s="201">
        <v>3383</v>
      </c>
      <c r="F141" s="201">
        <v>22678078.584064871</v>
      </c>
      <c r="G141" s="201">
        <v>6112</v>
      </c>
      <c r="H141" s="201">
        <v>2928367.82</v>
      </c>
      <c r="I141" s="201">
        <v>789</v>
      </c>
      <c r="J141" s="201">
        <v>2552632.9199999995</v>
      </c>
      <c r="K141" s="201">
        <v>688</v>
      </c>
      <c r="L141" s="201">
        <v>40713758.554064855</v>
      </c>
      <c r="M141" s="188">
        <v>10972</v>
      </c>
      <c r="N141" s="99"/>
      <c r="O141" s="183"/>
      <c r="P141" s="14"/>
      <c r="Q141" s="14"/>
      <c r="R141" s="14"/>
      <c r="S141" s="14"/>
      <c r="T141" s="13"/>
      <c r="U141" s="13"/>
      <c r="V141" s="13"/>
      <c r="W141" s="13"/>
      <c r="X141" s="13"/>
      <c r="Y141" s="13"/>
      <c r="Z141" s="13"/>
    </row>
    <row r="142" spans="1:26" x14ac:dyDescent="0.2">
      <c r="A142" s="299"/>
      <c r="B142" s="300" t="s">
        <v>270</v>
      </c>
      <c r="C142" s="301"/>
      <c r="D142" s="302"/>
      <c r="E142" s="302"/>
      <c r="F142" s="302"/>
      <c r="G142" s="302"/>
      <c r="H142" s="302"/>
      <c r="I142" s="302"/>
      <c r="J142" s="302"/>
      <c r="K142" s="302"/>
      <c r="L142" s="302"/>
      <c r="M142" s="303"/>
      <c r="N142" s="13"/>
      <c r="O142" s="14"/>
      <c r="P142" s="14"/>
      <c r="Q142" s="14"/>
      <c r="R142" s="14"/>
      <c r="S142" s="14"/>
      <c r="T142" s="13"/>
      <c r="U142" s="13"/>
      <c r="V142" s="13"/>
      <c r="W142" s="13"/>
      <c r="X142" s="13"/>
      <c r="Y142" s="13"/>
      <c r="Z142" s="13"/>
    </row>
    <row r="143" spans="1:26" x14ac:dyDescent="0.2">
      <c r="A143" s="189">
        <v>202</v>
      </c>
      <c r="B143" s="186" t="s">
        <v>271</v>
      </c>
      <c r="C143" s="187">
        <v>633.81000000000006</v>
      </c>
      <c r="D143" s="184">
        <v>2365128.8999999994</v>
      </c>
      <c r="E143" s="201">
        <v>3732</v>
      </c>
      <c r="F143" s="201">
        <v>3724654.3569602831</v>
      </c>
      <c r="G143" s="201">
        <v>5877</v>
      </c>
      <c r="H143" s="201">
        <v>516764.39</v>
      </c>
      <c r="I143" s="201">
        <v>815</v>
      </c>
      <c r="J143" s="201">
        <v>789130.2300000001</v>
      </c>
      <c r="K143" s="201">
        <v>1245</v>
      </c>
      <c r="L143" s="201">
        <v>7395677.8769602831</v>
      </c>
      <c r="M143" s="188">
        <v>11669</v>
      </c>
      <c r="N143" s="99"/>
      <c r="O143" s="183"/>
      <c r="P143" s="14"/>
      <c r="Q143" s="14"/>
      <c r="R143" s="14"/>
      <c r="S143" s="14"/>
      <c r="T143" s="13"/>
      <c r="U143" s="13"/>
      <c r="V143" s="13"/>
      <c r="W143" s="13"/>
      <c r="X143" s="13"/>
      <c r="Y143" s="13"/>
      <c r="Z143" s="13"/>
    </row>
    <row r="144" spans="1:26" x14ac:dyDescent="0.2">
      <c r="A144" s="189">
        <v>207</v>
      </c>
      <c r="B144" s="186" t="s">
        <v>272</v>
      </c>
      <c r="C144" s="187">
        <v>808.74</v>
      </c>
      <c r="D144" s="184">
        <v>4682799.7500000009</v>
      </c>
      <c r="E144" s="201">
        <v>5790</v>
      </c>
      <c r="F144" s="201">
        <v>4666317.290000001</v>
      </c>
      <c r="G144" s="201">
        <v>5770</v>
      </c>
      <c r="H144" s="201">
        <v>654282.81000000006</v>
      </c>
      <c r="I144" s="201">
        <v>809</v>
      </c>
      <c r="J144" s="201">
        <v>427694.12</v>
      </c>
      <c r="K144" s="201">
        <v>529</v>
      </c>
      <c r="L144" s="201">
        <v>10431093.970000003</v>
      </c>
      <c r="M144" s="188">
        <v>12898</v>
      </c>
      <c r="N144" s="99"/>
      <c r="O144" s="183"/>
      <c r="P144" s="14"/>
      <c r="Q144" s="14"/>
      <c r="R144" s="14"/>
      <c r="S144" s="14"/>
      <c r="T144" s="13"/>
      <c r="U144" s="13"/>
      <c r="V144" s="13"/>
      <c r="W144" s="13"/>
      <c r="X144" s="13"/>
      <c r="Y144" s="13"/>
      <c r="Z144" s="13"/>
    </row>
    <row r="145" spans="1:31" x14ac:dyDescent="0.2">
      <c r="A145" s="185"/>
      <c r="B145" s="186"/>
      <c r="C145" s="201"/>
      <c r="D145" s="184"/>
      <c r="E145" s="184"/>
      <c r="F145" s="184"/>
      <c r="G145" s="184"/>
      <c r="H145" s="184"/>
      <c r="I145" s="184"/>
      <c r="J145" s="184"/>
      <c r="K145" s="184"/>
      <c r="L145" s="184"/>
      <c r="M145" s="192"/>
      <c r="N145" s="13"/>
      <c r="O145" s="14"/>
      <c r="P145" s="14"/>
      <c r="Q145" s="14"/>
      <c r="R145" s="14"/>
      <c r="S145" s="14"/>
      <c r="T145" s="14"/>
      <c r="U145" s="14"/>
      <c r="V145" s="13"/>
      <c r="W145" s="13"/>
      <c r="X145" s="13"/>
      <c r="Y145" s="13"/>
      <c r="Z145" s="13"/>
    </row>
    <row r="146" spans="1:31" ht="13.5" x14ac:dyDescent="0.2">
      <c r="A146" s="193"/>
      <c r="B146" s="194" t="s">
        <v>654</v>
      </c>
      <c r="C146" s="195">
        <v>1286000.6800000004</v>
      </c>
      <c r="D146" s="253">
        <v>8310576452.0099945</v>
      </c>
      <c r="E146" s="253">
        <v>6462</v>
      </c>
      <c r="F146" s="202">
        <v>5358061371.2399969</v>
      </c>
      <c r="G146" s="202">
        <v>4166</v>
      </c>
      <c r="H146" s="202">
        <f>SUM(H11:H144)</f>
        <v>1353472785.8899992</v>
      </c>
      <c r="I146" s="202">
        <v>1052</v>
      </c>
      <c r="J146" s="202">
        <v>1115199085.0300002</v>
      </c>
      <c r="K146" s="202">
        <v>867</v>
      </c>
      <c r="L146" s="202">
        <v>16137309694.17</v>
      </c>
      <c r="M146" s="223">
        <v>12548</v>
      </c>
      <c r="N146" s="13"/>
      <c r="O146" s="13"/>
      <c r="P146" s="13"/>
      <c r="Q146" s="13"/>
      <c r="R146" s="13"/>
      <c r="S146" s="13"/>
      <c r="T146" s="13"/>
      <c r="U146" s="13"/>
      <c r="V146" s="13"/>
      <c r="W146" s="13"/>
      <c r="X146" s="13"/>
      <c r="Y146" s="13"/>
      <c r="Z146" s="13"/>
    </row>
    <row r="147" spans="1:31" s="5" customFormat="1" ht="15" x14ac:dyDescent="0.25">
      <c r="A147" s="196"/>
      <c r="B147" s="197"/>
      <c r="C147" s="198" t="s">
        <v>597</v>
      </c>
      <c r="D147" s="198"/>
      <c r="E147" s="199"/>
      <c r="F147" s="198"/>
      <c r="G147" s="199"/>
      <c r="H147" s="198"/>
      <c r="I147" s="199"/>
      <c r="J147" s="198"/>
      <c r="K147" s="199"/>
      <c r="L147" s="198"/>
      <c r="M147" s="200"/>
      <c r="N147" s="90"/>
      <c r="O147" s="14"/>
      <c r="P147" s="14"/>
      <c r="Q147" s="14"/>
      <c r="R147" s="14"/>
      <c r="S147" s="14"/>
      <c r="T147" s="14"/>
      <c r="U147" s="14"/>
      <c r="V147" s="90"/>
      <c r="W147" s="90"/>
      <c r="X147" s="90"/>
      <c r="Y147" s="90"/>
      <c r="Z147" s="90"/>
    </row>
    <row r="148" spans="1:31" ht="45" customHeight="1" x14ac:dyDescent="0.2">
      <c r="A148" s="315" t="s">
        <v>635</v>
      </c>
      <c r="B148" s="316"/>
      <c r="C148" s="316"/>
      <c r="D148" s="316"/>
      <c r="E148" s="316"/>
      <c r="F148" s="316"/>
      <c r="G148" s="316"/>
      <c r="H148" s="316"/>
      <c r="I148" s="316"/>
      <c r="J148" s="316"/>
      <c r="K148" s="316"/>
      <c r="L148" s="316"/>
      <c r="M148" s="317"/>
      <c r="N148" s="13"/>
      <c r="O148" s="14"/>
      <c r="P148" s="14"/>
      <c r="Q148" s="14"/>
      <c r="R148" s="14"/>
      <c r="S148" s="14"/>
      <c r="T148" s="13"/>
      <c r="U148" s="13"/>
      <c r="V148" s="13"/>
      <c r="W148" s="13"/>
      <c r="X148" s="13"/>
      <c r="Y148" s="13"/>
      <c r="Z148" s="13"/>
      <c r="AA148" s="94"/>
      <c r="AB148" s="94"/>
      <c r="AC148" s="94"/>
      <c r="AD148" s="94"/>
      <c r="AE148" s="94"/>
    </row>
    <row r="149" spans="1:31" ht="45" customHeight="1" x14ac:dyDescent="0.2">
      <c r="A149" s="327" t="s">
        <v>636</v>
      </c>
      <c r="B149" s="328"/>
      <c r="C149" s="328"/>
      <c r="D149" s="328"/>
      <c r="E149" s="328"/>
      <c r="F149" s="328"/>
      <c r="G149" s="328"/>
      <c r="H149" s="328"/>
      <c r="I149" s="328"/>
      <c r="J149" s="328"/>
      <c r="K149" s="328"/>
      <c r="L149" s="328"/>
      <c r="M149" s="329"/>
      <c r="N149" s="13"/>
      <c r="O149" s="14"/>
      <c r="P149" s="14"/>
      <c r="Q149" s="14"/>
      <c r="R149" s="14"/>
      <c r="S149" s="14"/>
      <c r="T149" s="13"/>
      <c r="U149" s="13"/>
      <c r="V149" s="13"/>
      <c r="W149" s="13"/>
      <c r="X149" s="13"/>
      <c r="Y149" s="13"/>
      <c r="Z149" s="13"/>
      <c r="AA149" s="94"/>
      <c r="AB149" s="94"/>
      <c r="AC149" s="94"/>
      <c r="AD149" s="94"/>
      <c r="AE149" s="94"/>
    </row>
    <row r="150" spans="1:31" ht="15" customHeight="1" x14ac:dyDescent="0.2">
      <c r="A150" s="330" t="s">
        <v>629</v>
      </c>
      <c r="B150" s="319"/>
      <c r="C150" s="319"/>
      <c r="D150" s="319"/>
      <c r="E150" s="319"/>
      <c r="F150" s="319"/>
      <c r="G150" s="319"/>
      <c r="H150" s="319"/>
      <c r="I150" s="319"/>
      <c r="J150" s="319"/>
      <c r="K150" s="319"/>
      <c r="L150" s="319"/>
      <c r="M150" s="320"/>
      <c r="N150" s="13"/>
      <c r="O150" s="14"/>
      <c r="P150" s="14"/>
      <c r="Q150" s="14"/>
      <c r="R150" s="14"/>
      <c r="S150" s="14"/>
      <c r="T150" s="13"/>
      <c r="U150" s="13"/>
      <c r="V150" s="13"/>
      <c r="W150" s="13"/>
      <c r="X150" s="13"/>
      <c r="Y150" s="13"/>
      <c r="Z150" s="13"/>
      <c r="AA150" s="94"/>
      <c r="AB150" s="94"/>
      <c r="AC150" s="94"/>
      <c r="AD150" s="94"/>
      <c r="AE150" s="94"/>
    </row>
    <row r="151" spans="1:31" ht="15" customHeight="1" x14ac:dyDescent="0.2">
      <c r="A151" s="331" t="s">
        <v>630</v>
      </c>
      <c r="B151" s="332"/>
      <c r="C151" s="332"/>
      <c r="D151" s="332"/>
      <c r="E151" s="332"/>
      <c r="F151" s="332"/>
      <c r="G151" s="332"/>
      <c r="H151" s="332"/>
      <c r="I151" s="332"/>
      <c r="J151" s="332"/>
      <c r="K151" s="332"/>
      <c r="L151" s="332"/>
      <c r="M151" s="333"/>
      <c r="N151" s="13"/>
      <c r="O151" s="14"/>
      <c r="P151" s="14"/>
      <c r="Q151" s="14"/>
      <c r="R151" s="14"/>
      <c r="S151" s="14"/>
      <c r="T151" s="13"/>
      <c r="U151" s="13"/>
      <c r="V151" s="13"/>
      <c r="W151" s="13"/>
      <c r="X151" s="13"/>
      <c r="Y151" s="13"/>
      <c r="Z151" s="13"/>
      <c r="AA151" s="94"/>
      <c r="AB151" s="94"/>
      <c r="AC151" s="94"/>
      <c r="AD151" s="94"/>
      <c r="AE151" s="94"/>
    </row>
    <row r="152" spans="1:31" ht="15" customHeight="1" x14ac:dyDescent="0.2">
      <c r="A152" s="331" t="s">
        <v>585</v>
      </c>
      <c r="B152" s="332"/>
      <c r="C152" s="332"/>
      <c r="D152" s="332"/>
      <c r="E152" s="332"/>
      <c r="F152" s="332"/>
      <c r="G152" s="332"/>
      <c r="H152" s="332"/>
      <c r="I152" s="332"/>
      <c r="J152" s="332"/>
      <c r="K152" s="332"/>
      <c r="L152" s="332"/>
      <c r="M152" s="333"/>
      <c r="N152" s="13"/>
      <c r="O152" s="14"/>
      <c r="P152" s="14"/>
      <c r="Q152" s="14"/>
      <c r="R152" s="14"/>
      <c r="S152" s="14"/>
      <c r="T152" s="13"/>
      <c r="U152" s="13"/>
      <c r="V152" s="13"/>
      <c r="W152" s="13"/>
      <c r="X152" s="13"/>
      <c r="Y152" s="13"/>
      <c r="Z152" s="13"/>
      <c r="AA152" s="94"/>
      <c r="AB152" s="94"/>
      <c r="AC152" s="94"/>
      <c r="AD152" s="94"/>
      <c r="AE152" s="94"/>
    </row>
    <row r="153" spans="1:31" ht="29.25" customHeight="1" x14ac:dyDescent="0.2">
      <c r="A153" s="318" t="s">
        <v>637</v>
      </c>
      <c r="B153" s="319"/>
      <c r="C153" s="319"/>
      <c r="D153" s="319"/>
      <c r="E153" s="319"/>
      <c r="F153" s="319"/>
      <c r="G153" s="319"/>
      <c r="H153" s="319"/>
      <c r="I153" s="319"/>
      <c r="J153" s="319"/>
      <c r="K153" s="319"/>
      <c r="L153" s="319"/>
      <c r="M153" s="320"/>
      <c r="N153" s="13"/>
      <c r="O153" s="14"/>
      <c r="P153" s="14"/>
      <c r="Q153" s="14"/>
      <c r="R153" s="14"/>
      <c r="S153" s="14"/>
      <c r="T153" s="13"/>
      <c r="U153" s="13"/>
      <c r="V153" s="13"/>
      <c r="W153" s="13"/>
      <c r="X153" s="13"/>
      <c r="Y153" s="13"/>
      <c r="Z153" s="13"/>
      <c r="AA153" s="94"/>
      <c r="AB153" s="94"/>
      <c r="AC153" s="94"/>
      <c r="AD153" s="94"/>
      <c r="AE153" s="94"/>
    </row>
    <row r="154" spans="1:31" ht="24" customHeight="1" x14ac:dyDescent="0.2">
      <c r="A154" s="321" t="s">
        <v>631</v>
      </c>
      <c r="B154" s="322"/>
      <c r="C154" s="322"/>
      <c r="D154" s="322"/>
      <c r="E154" s="322"/>
      <c r="F154" s="322"/>
      <c r="G154" s="322"/>
      <c r="H154" s="322"/>
      <c r="I154" s="322"/>
      <c r="J154" s="322"/>
      <c r="K154" s="322"/>
      <c r="L154" s="322"/>
      <c r="M154" s="323"/>
      <c r="N154" s="13"/>
      <c r="O154" s="14"/>
      <c r="P154" s="14"/>
      <c r="Q154" s="14"/>
      <c r="R154" s="14"/>
      <c r="S154" s="14"/>
      <c r="T154" s="14"/>
      <c r="U154" s="14"/>
      <c r="V154" s="13"/>
      <c r="W154" s="13"/>
      <c r="X154" s="13"/>
      <c r="Y154" s="13"/>
      <c r="Z154" s="13"/>
    </row>
    <row r="155" spans="1:31" ht="15" customHeight="1" thickBot="1" x14ac:dyDescent="0.25">
      <c r="A155" s="324" t="s">
        <v>660</v>
      </c>
      <c r="B155" s="325"/>
      <c r="C155" s="325"/>
      <c r="D155" s="325"/>
      <c r="E155" s="325"/>
      <c r="F155" s="325"/>
      <c r="G155" s="325"/>
      <c r="H155" s="325"/>
      <c r="I155" s="325"/>
      <c r="J155" s="325"/>
      <c r="K155" s="325"/>
      <c r="L155" s="325"/>
      <c r="M155" s="326"/>
      <c r="N155" s="13"/>
      <c r="O155" s="14"/>
      <c r="P155" s="14"/>
      <c r="Q155" s="14"/>
      <c r="R155" s="14"/>
      <c r="S155" s="14"/>
      <c r="T155" s="14"/>
      <c r="U155" s="14"/>
      <c r="V155" s="13"/>
      <c r="W155" s="13"/>
      <c r="X155" s="13"/>
      <c r="Y155" s="13"/>
      <c r="Z155" s="13"/>
    </row>
    <row r="156" spans="1:31" x14ac:dyDescent="0.2">
      <c r="A156" s="249" t="s">
        <v>643</v>
      </c>
      <c r="B156" s="13"/>
      <c r="C156" s="15"/>
      <c r="D156" s="15"/>
      <c r="E156" s="15"/>
      <c r="F156" s="15"/>
      <c r="G156" s="15"/>
      <c r="H156" s="15"/>
      <c r="I156" s="15"/>
      <c r="J156" s="15"/>
      <c r="K156" s="15"/>
      <c r="L156" s="15"/>
      <c r="M156" s="15"/>
      <c r="N156" s="13"/>
      <c r="O156" s="14"/>
      <c r="P156" s="14"/>
      <c r="Q156" s="14"/>
      <c r="R156" s="14"/>
      <c r="S156" s="14"/>
      <c r="T156" s="14"/>
      <c r="U156" s="14"/>
      <c r="V156" s="13"/>
      <c r="W156" s="13"/>
      <c r="X156" s="13"/>
      <c r="Y156" s="13"/>
      <c r="Z156" s="13"/>
    </row>
    <row r="157" spans="1:31" x14ac:dyDescent="0.2">
      <c r="A157" s="16"/>
      <c r="B157" s="13"/>
      <c r="C157" s="15"/>
      <c r="D157" s="15"/>
      <c r="E157" s="15"/>
      <c r="F157" s="15"/>
      <c r="G157" s="15"/>
      <c r="H157" s="15"/>
      <c r="I157" s="15"/>
      <c r="J157" s="15"/>
      <c r="K157" s="15"/>
      <c r="L157" s="15"/>
      <c r="M157" s="15"/>
      <c r="N157" s="13"/>
      <c r="O157" s="14"/>
      <c r="P157" s="14"/>
      <c r="Q157" s="14"/>
      <c r="R157" s="14"/>
      <c r="S157" s="14"/>
      <c r="T157" s="14"/>
      <c r="U157" s="14"/>
      <c r="V157" s="13"/>
      <c r="W157" s="13"/>
      <c r="X157" s="13"/>
      <c r="Y157" s="13"/>
      <c r="Z157" s="13"/>
    </row>
    <row r="158" spans="1:31" x14ac:dyDescent="0.2">
      <c r="A158" s="16"/>
      <c r="B158" s="13"/>
      <c r="C158" s="15"/>
      <c r="D158" s="15"/>
      <c r="E158" s="15"/>
      <c r="F158" s="15"/>
      <c r="G158" s="15"/>
      <c r="H158" s="15"/>
      <c r="I158" s="15"/>
      <c r="J158" s="15"/>
      <c r="K158" s="15"/>
      <c r="L158" s="15"/>
      <c r="M158" s="15"/>
      <c r="N158" s="13"/>
      <c r="O158" s="14"/>
      <c r="P158" s="14"/>
      <c r="Q158" s="14"/>
      <c r="R158" s="14"/>
      <c r="S158" s="14"/>
      <c r="T158" s="14"/>
      <c r="U158" s="14"/>
      <c r="V158" s="13"/>
      <c r="W158" s="13"/>
      <c r="X158" s="13"/>
      <c r="Y158" s="13"/>
      <c r="Z158" s="13"/>
    </row>
    <row r="159" spans="1:31" x14ac:dyDescent="0.2">
      <c r="A159" s="16"/>
      <c r="B159" s="13"/>
      <c r="C159" s="15"/>
      <c r="D159" s="15"/>
      <c r="E159" s="15"/>
      <c r="F159" s="15"/>
      <c r="G159" s="15"/>
      <c r="H159" s="15"/>
      <c r="I159" s="15"/>
      <c r="J159" s="15"/>
      <c r="K159" s="15"/>
      <c r="L159" s="15"/>
      <c r="M159" s="15"/>
      <c r="N159" s="13"/>
      <c r="O159" s="14"/>
      <c r="P159" s="14"/>
      <c r="Q159" s="14"/>
      <c r="R159" s="14"/>
      <c r="S159" s="14"/>
      <c r="T159" s="14"/>
      <c r="U159" s="14"/>
      <c r="V159" s="13"/>
      <c r="W159" s="13"/>
      <c r="X159" s="13"/>
      <c r="Y159" s="13"/>
      <c r="Z159" s="13"/>
    </row>
    <row r="160" spans="1:31" x14ac:dyDescent="0.2">
      <c r="A160" s="16"/>
      <c r="B160" s="13"/>
      <c r="C160" s="15"/>
      <c r="D160" s="15"/>
      <c r="E160" s="15"/>
      <c r="F160" s="15"/>
      <c r="G160" s="15"/>
      <c r="H160" s="15"/>
      <c r="I160" s="15"/>
      <c r="J160" s="15"/>
      <c r="K160" s="15"/>
      <c r="L160" s="15"/>
      <c r="M160" s="15"/>
      <c r="N160" s="13"/>
      <c r="O160" s="14"/>
      <c r="P160" s="14"/>
      <c r="Q160" s="14"/>
      <c r="R160" s="14"/>
      <c r="S160" s="14"/>
      <c r="T160" s="14"/>
      <c r="U160" s="14"/>
      <c r="V160" s="13"/>
      <c r="W160" s="13"/>
      <c r="X160" s="13"/>
      <c r="Y160" s="13"/>
      <c r="Z160" s="13"/>
    </row>
    <row r="161" spans="1:26" x14ac:dyDescent="0.2">
      <c r="A161" s="16"/>
      <c r="B161" s="13"/>
      <c r="C161" s="15"/>
      <c r="D161" s="15"/>
      <c r="E161" s="15"/>
      <c r="F161" s="15"/>
      <c r="G161" s="15"/>
      <c r="H161" s="15"/>
      <c r="I161" s="15"/>
      <c r="J161" s="15"/>
      <c r="K161" s="15"/>
      <c r="L161" s="15"/>
      <c r="M161" s="15"/>
      <c r="N161" s="13"/>
      <c r="O161" s="14"/>
      <c r="P161" s="14"/>
      <c r="Q161" s="14"/>
      <c r="R161" s="14"/>
      <c r="S161" s="14"/>
      <c r="T161" s="14"/>
      <c r="U161" s="14"/>
      <c r="V161" s="13"/>
      <c r="W161" s="13"/>
      <c r="X161" s="13"/>
      <c r="Y161" s="13"/>
      <c r="Z161" s="13"/>
    </row>
    <row r="162" spans="1:26" x14ac:dyDescent="0.2">
      <c r="A162" s="16"/>
      <c r="B162" s="13"/>
      <c r="C162" s="15"/>
      <c r="D162" s="15"/>
      <c r="E162" s="15"/>
      <c r="F162" s="15"/>
      <c r="G162" s="15"/>
      <c r="H162" s="15"/>
      <c r="I162" s="15"/>
      <c r="J162" s="15"/>
      <c r="K162" s="15"/>
      <c r="L162" s="15"/>
      <c r="M162" s="15"/>
      <c r="N162" s="13"/>
      <c r="O162" s="14"/>
      <c r="P162" s="14"/>
      <c r="Q162" s="14"/>
      <c r="R162" s="14"/>
      <c r="S162" s="14"/>
      <c r="T162" s="14"/>
      <c r="U162" s="14"/>
      <c r="V162" s="13"/>
      <c r="W162" s="13"/>
      <c r="X162" s="13"/>
      <c r="Y162" s="13"/>
      <c r="Z162" s="13"/>
    </row>
    <row r="163" spans="1:26" x14ac:dyDescent="0.2">
      <c r="A163" s="16"/>
      <c r="B163" s="13"/>
      <c r="C163" s="15"/>
      <c r="D163" s="15"/>
      <c r="E163" s="15"/>
      <c r="F163" s="15"/>
      <c r="G163" s="15"/>
      <c r="H163" s="15"/>
      <c r="I163" s="15"/>
      <c r="J163" s="15"/>
      <c r="K163" s="15"/>
      <c r="L163" s="15"/>
      <c r="M163" s="15"/>
      <c r="N163" s="13"/>
      <c r="O163" s="14"/>
      <c r="P163" s="14"/>
      <c r="Q163" s="14"/>
      <c r="R163" s="14"/>
      <c r="S163" s="14"/>
      <c r="T163" s="14"/>
      <c r="U163" s="14"/>
      <c r="V163" s="13"/>
      <c r="W163" s="13"/>
      <c r="X163" s="13"/>
      <c r="Y163" s="13"/>
      <c r="Z163" s="13"/>
    </row>
    <row r="164" spans="1:26" x14ac:dyDescent="0.2">
      <c r="A164" s="16"/>
      <c r="B164" s="13"/>
      <c r="C164" s="15"/>
      <c r="D164" s="15"/>
      <c r="E164" s="15"/>
      <c r="F164" s="15"/>
      <c r="G164" s="15"/>
      <c r="H164" s="15"/>
      <c r="I164" s="15"/>
      <c r="J164" s="15"/>
      <c r="K164" s="15"/>
      <c r="L164" s="15"/>
      <c r="M164" s="15"/>
      <c r="N164" s="13"/>
      <c r="O164" s="14"/>
      <c r="P164" s="14"/>
      <c r="Q164" s="14"/>
      <c r="R164" s="14"/>
      <c r="S164" s="14"/>
      <c r="T164" s="14"/>
      <c r="U164" s="14"/>
      <c r="V164" s="13"/>
      <c r="W164" s="13"/>
      <c r="X164" s="13"/>
      <c r="Y164" s="13"/>
      <c r="Z164" s="13"/>
    </row>
    <row r="165" spans="1:26" x14ac:dyDescent="0.2">
      <c r="A165" s="16"/>
      <c r="B165" s="13"/>
      <c r="C165" s="15"/>
      <c r="D165" s="15"/>
      <c r="E165" s="15"/>
      <c r="F165" s="15"/>
      <c r="G165" s="15"/>
      <c r="H165" s="15"/>
      <c r="I165" s="15"/>
      <c r="J165" s="15"/>
      <c r="K165" s="15"/>
      <c r="L165" s="15"/>
      <c r="M165" s="15"/>
      <c r="N165" s="13"/>
      <c r="O165" s="14"/>
      <c r="P165" s="14"/>
      <c r="Q165" s="14"/>
      <c r="R165" s="14"/>
      <c r="S165" s="14"/>
      <c r="T165" s="14"/>
      <c r="U165" s="14"/>
      <c r="V165" s="13"/>
      <c r="W165" s="13"/>
      <c r="X165" s="13"/>
      <c r="Y165" s="13"/>
      <c r="Z165" s="13"/>
    </row>
    <row r="166" spans="1:26" x14ac:dyDescent="0.2">
      <c r="A166" s="16"/>
      <c r="B166" s="13"/>
      <c r="C166" s="15"/>
      <c r="D166" s="15"/>
      <c r="E166" s="15"/>
      <c r="F166" s="15"/>
      <c r="G166" s="15"/>
      <c r="H166" s="15"/>
      <c r="I166" s="15"/>
      <c r="J166" s="15"/>
      <c r="K166" s="15"/>
      <c r="L166" s="15"/>
      <c r="M166" s="15"/>
      <c r="N166" s="13"/>
      <c r="O166" s="14"/>
      <c r="P166" s="14"/>
      <c r="Q166" s="14"/>
      <c r="R166" s="14"/>
      <c r="S166" s="14"/>
      <c r="T166" s="14"/>
      <c r="U166" s="14"/>
      <c r="V166" s="13"/>
      <c r="W166" s="13"/>
      <c r="X166" s="13"/>
      <c r="Y166" s="13"/>
      <c r="Z166" s="13"/>
    </row>
    <row r="167" spans="1:26" x14ac:dyDescent="0.2">
      <c r="A167" s="16"/>
      <c r="B167" s="13"/>
      <c r="C167" s="15"/>
      <c r="D167" s="15"/>
      <c r="E167" s="15"/>
      <c r="F167" s="15"/>
      <c r="G167" s="15"/>
      <c r="H167" s="15"/>
      <c r="I167" s="15"/>
      <c r="J167" s="15"/>
      <c r="K167" s="15"/>
      <c r="L167" s="15"/>
      <c r="M167" s="15"/>
      <c r="N167" s="13"/>
      <c r="O167" s="14"/>
      <c r="P167" s="14"/>
      <c r="Q167" s="14"/>
      <c r="R167" s="14"/>
      <c r="S167" s="14"/>
      <c r="T167" s="14"/>
      <c r="U167" s="14"/>
      <c r="V167" s="13"/>
      <c r="W167" s="13"/>
      <c r="X167" s="13"/>
      <c r="Y167" s="13"/>
      <c r="Z167" s="13"/>
    </row>
    <row r="168" spans="1:26" x14ac:dyDescent="0.2">
      <c r="A168" s="16"/>
      <c r="B168" s="13"/>
      <c r="C168" s="15"/>
      <c r="D168" s="15"/>
      <c r="E168" s="15"/>
      <c r="F168" s="15"/>
      <c r="G168" s="15"/>
      <c r="H168" s="15"/>
      <c r="I168" s="15"/>
      <c r="J168" s="15"/>
      <c r="K168" s="15"/>
      <c r="L168" s="15"/>
      <c r="M168" s="15"/>
      <c r="N168" s="13"/>
      <c r="O168" s="14"/>
      <c r="P168" s="14"/>
      <c r="Q168" s="14"/>
      <c r="R168" s="14"/>
      <c r="S168" s="14"/>
      <c r="T168" s="14"/>
      <c r="U168" s="14"/>
      <c r="V168" s="13"/>
      <c r="W168" s="13"/>
      <c r="X168" s="13"/>
      <c r="Y168" s="13"/>
      <c r="Z168" s="13"/>
    </row>
    <row r="169" spans="1:26" x14ac:dyDescent="0.2">
      <c r="A169" s="16"/>
      <c r="B169" s="13"/>
      <c r="C169" s="15"/>
      <c r="D169" s="15"/>
      <c r="E169" s="15"/>
      <c r="F169" s="15"/>
      <c r="G169" s="15"/>
      <c r="H169" s="15"/>
      <c r="I169" s="15"/>
      <c r="J169" s="15"/>
      <c r="K169" s="15"/>
      <c r="L169" s="15"/>
      <c r="M169" s="15"/>
      <c r="N169" s="13"/>
      <c r="O169" s="14"/>
      <c r="P169" s="14"/>
      <c r="Q169" s="14"/>
      <c r="R169" s="14"/>
      <c r="S169" s="14"/>
      <c r="T169" s="14"/>
      <c r="U169" s="14"/>
      <c r="V169" s="13"/>
      <c r="W169" s="13"/>
      <c r="X169" s="13"/>
      <c r="Y169" s="13"/>
      <c r="Z169" s="13"/>
    </row>
    <row r="170" spans="1:26" x14ac:dyDescent="0.2">
      <c r="A170" s="16"/>
      <c r="B170" s="13"/>
      <c r="C170" s="15"/>
      <c r="D170" s="15"/>
      <c r="E170" s="15"/>
      <c r="F170" s="15"/>
      <c r="G170" s="15"/>
      <c r="H170" s="15"/>
      <c r="I170" s="15"/>
      <c r="J170" s="15"/>
      <c r="K170" s="15"/>
      <c r="L170" s="15"/>
      <c r="M170" s="15"/>
      <c r="N170" s="13"/>
      <c r="O170" s="14"/>
      <c r="P170" s="14"/>
      <c r="Q170" s="14"/>
      <c r="R170" s="14"/>
      <c r="S170" s="14"/>
      <c r="T170" s="14"/>
      <c r="U170" s="14"/>
      <c r="V170" s="13"/>
      <c r="W170" s="13"/>
      <c r="X170" s="13"/>
      <c r="Y170" s="13"/>
      <c r="Z170" s="13"/>
    </row>
    <row r="171" spans="1:26" x14ac:dyDescent="0.2">
      <c r="A171" s="16"/>
      <c r="B171" s="13"/>
      <c r="C171" s="15"/>
      <c r="D171" s="15"/>
      <c r="E171" s="15"/>
      <c r="F171" s="15"/>
      <c r="G171" s="15"/>
      <c r="H171" s="15"/>
      <c r="I171" s="15"/>
      <c r="J171" s="15"/>
      <c r="K171" s="15"/>
      <c r="L171" s="15"/>
      <c r="M171" s="15"/>
      <c r="N171" s="13"/>
      <c r="O171" s="14"/>
      <c r="P171" s="14"/>
      <c r="Q171" s="14"/>
      <c r="R171" s="14"/>
      <c r="S171" s="14"/>
      <c r="T171" s="14"/>
      <c r="U171" s="14"/>
      <c r="V171" s="13"/>
      <c r="W171" s="13"/>
      <c r="X171" s="13"/>
      <c r="Y171" s="13"/>
      <c r="Z171" s="13"/>
    </row>
    <row r="172" spans="1:26" x14ac:dyDescent="0.2">
      <c r="A172" s="16"/>
      <c r="B172" s="13"/>
      <c r="C172" s="15"/>
      <c r="D172" s="15"/>
      <c r="E172" s="15"/>
      <c r="F172" s="15"/>
      <c r="G172" s="15"/>
      <c r="H172" s="15"/>
      <c r="I172" s="15"/>
      <c r="J172" s="15"/>
      <c r="K172" s="15"/>
      <c r="L172" s="15"/>
      <c r="M172" s="15"/>
      <c r="N172" s="13"/>
      <c r="O172" s="14"/>
      <c r="P172" s="14"/>
      <c r="Q172" s="14"/>
      <c r="R172" s="14"/>
      <c r="S172" s="14"/>
      <c r="T172" s="14"/>
      <c r="U172" s="14"/>
      <c r="V172" s="13"/>
      <c r="W172" s="13"/>
      <c r="X172" s="13"/>
      <c r="Y172" s="13"/>
      <c r="Z172" s="13"/>
    </row>
    <row r="173" spans="1:26" x14ac:dyDescent="0.2">
      <c r="A173" s="16"/>
      <c r="B173" s="13"/>
      <c r="C173" s="15"/>
      <c r="D173" s="15"/>
      <c r="E173" s="15"/>
      <c r="F173" s="15"/>
      <c r="G173" s="15"/>
      <c r="H173" s="15"/>
      <c r="I173" s="15"/>
      <c r="J173" s="15"/>
      <c r="K173" s="15"/>
      <c r="L173" s="15"/>
      <c r="M173" s="15"/>
      <c r="N173" s="13"/>
      <c r="O173" s="14"/>
      <c r="P173" s="14"/>
      <c r="Q173" s="14"/>
      <c r="R173" s="14"/>
      <c r="S173" s="14"/>
      <c r="T173" s="14"/>
      <c r="U173" s="14"/>
      <c r="V173" s="13"/>
      <c r="W173" s="13"/>
      <c r="X173" s="13"/>
      <c r="Y173" s="13"/>
      <c r="Z173" s="13"/>
    </row>
    <row r="174" spans="1:26" x14ac:dyDescent="0.2">
      <c r="A174" s="16"/>
      <c r="B174" s="13"/>
      <c r="C174" s="15"/>
      <c r="D174" s="15"/>
      <c r="E174" s="15"/>
      <c r="F174" s="15"/>
      <c r="G174" s="15"/>
      <c r="H174" s="15"/>
      <c r="I174" s="15"/>
      <c r="J174" s="15"/>
      <c r="K174" s="15"/>
      <c r="L174" s="15"/>
      <c r="M174" s="15"/>
      <c r="N174" s="13"/>
      <c r="O174" s="14"/>
      <c r="P174" s="14"/>
      <c r="Q174" s="14"/>
      <c r="R174" s="14"/>
      <c r="S174" s="14"/>
      <c r="T174" s="14"/>
      <c r="U174" s="14"/>
      <c r="V174" s="13"/>
      <c r="W174" s="13"/>
      <c r="X174" s="13"/>
      <c r="Y174" s="13"/>
      <c r="Z174" s="13"/>
    </row>
    <row r="175" spans="1:26" x14ac:dyDescent="0.2">
      <c r="A175" s="16"/>
      <c r="B175" s="13"/>
      <c r="C175" s="15"/>
      <c r="D175" s="15"/>
      <c r="E175" s="15"/>
      <c r="F175" s="15"/>
      <c r="G175" s="15"/>
      <c r="H175" s="15"/>
      <c r="I175" s="15"/>
      <c r="J175" s="15"/>
      <c r="K175" s="15"/>
      <c r="L175" s="15"/>
      <c r="M175" s="15"/>
      <c r="N175" s="13"/>
      <c r="O175" s="14"/>
      <c r="P175" s="14"/>
      <c r="Q175" s="14"/>
      <c r="R175" s="14"/>
      <c r="S175" s="14"/>
      <c r="T175" s="13"/>
      <c r="U175" s="13"/>
      <c r="V175" s="13"/>
      <c r="W175" s="13"/>
      <c r="X175" s="13"/>
      <c r="Y175" s="13"/>
      <c r="Z175" s="13"/>
    </row>
    <row r="176" spans="1:26" x14ac:dyDescent="0.2">
      <c r="A176" s="16"/>
      <c r="B176" s="13"/>
      <c r="C176" s="15"/>
      <c r="D176" s="15"/>
      <c r="E176" s="15"/>
      <c r="F176" s="15"/>
      <c r="G176" s="15"/>
      <c r="H176" s="15"/>
      <c r="I176" s="15"/>
      <c r="J176" s="15"/>
      <c r="K176" s="15"/>
      <c r="L176" s="15"/>
      <c r="M176" s="15"/>
      <c r="N176" s="13"/>
      <c r="O176" s="14"/>
      <c r="P176" s="14"/>
      <c r="Q176" s="14"/>
      <c r="R176" s="14"/>
      <c r="S176" s="14"/>
      <c r="T176" s="13"/>
      <c r="U176" s="13"/>
      <c r="V176" s="13"/>
      <c r="W176" s="13"/>
      <c r="X176" s="13"/>
      <c r="Y176" s="13"/>
      <c r="Z176" s="13"/>
    </row>
    <row r="177" spans="1:26" x14ac:dyDescent="0.2">
      <c r="A177" s="16"/>
      <c r="B177" s="13"/>
      <c r="C177" s="15"/>
      <c r="D177" s="15"/>
      <c r="E177" s="15"/>
      <c r="F177" s="15"/>
      <c r="G177" s="15"/>
      <c r="H177" s="15"/>
      <c r="I177" s="15"/>
      <c r="J177" s="15"/>
      <c r="K177" s="15"/>
      <c r="L177" s="15"/>
      <c r="M177" s="15"/>
      <c r="N177" s="13"/>
      <c r="O177" s="14"/>
      <c r="P177" s="14"/>
      <c r="Q177" s="14"/>
      <c r="R177" s="14"/>
      <c r="S177" s="14"/>
      <c r="T177" s="13"/>
      <c r="U177" s="13"/>
      <c r="V177" s="13"/>
      <c r="W177" s="13"/>
      <c r="X177" s="13"/>
      <c r="Y177" s="13"/>
      <c r="Z177" s="13"/>
    </row>
    <row r="178" spans="1:26" x14ac:dyDescent="0.2">
      <c r="A178" s="16"/>
      <c r="B178" s="13"/>
      <c r="C178" s="15"/>
      <c r="D178" s="15"/>
      <c r="E178" s="15"/>
      <c r="F178" s="15"/>
      <c r="G178" s="15"/>
      <c r="H178" s="15"/>
      <c r="I178" s="15"/>
      <c r="J178" s="15"/>
      <c r="K178" s="15"/>
      <c r="L178" s="15"/>
      <c r="M178" s="15"/>
      <c r="N178" s="13"/>
      <c r="O178" s="14"/>
      <c r="P178" s="14"/>
      <c r="Q178" s="14"/>
      <c r="R178" s="14"/>
      <c r="S178" s="14"/>
      <c r="T178" s="13"/>
      <c r="U178" s="13"/>
      <c r="V178" s="13"/>
      <c r="W178" s="13"/>
      <c r="X178" s="13"/>
      <c r="Y178" s="13"/>
      <c r="Z178" s="13"/>
    </row>
    <row r="179" spans="1:26" x14ac:dyDescent="0.2">
      <c r="A179" s="16"/>
      <c r="B179" s="13"/>
      <c r="C179" s="15"/>
      <c r="D179" s="15"/>
      <c r="E179" s="15"/>
      <c r="F179" s="15"/>
      <c r="G179" s="15"/>
      <c r="H179" s="15"/>
      <c r="I179" s="15"/>
      <c r="J179" s="15"/>
      <c r="K179" s="15"/>
      <c r="L179" s="15"/>
      <c r="M179" s="15"/>
      <c r="N179" s="13"/>
      <c r="O179" s="14"/>
      <c r="P179" s="14"/>
      <c r="Q179" s="14"/>
      <c r="R179" s="14"/>
      <c r="S179" s="14"/>
      <c r="T179" s="13"/>
      <c r="U179" s="13"/>
      <c r="V179" s="13"/>
      <c r="W179" s="13"/>
      <c r="X179" s="13"/>
      <c r="Y179" s="13"/>
      <c r="Z179" s="13"/>
    </row>
    <row r="180" spans="1:26" x14ac:dyDescent="0.2">
      <c r="A180" s="16"/>
      <c r="B180" s="13"/>
      <c r="C180" s="15"/>
      <c r="D180" s="15"/>
      <c r="E180" s="15"/>
      <c r="F180" s="15"/>
      <c r="G180" s="15"/>
      <c r="H180" s="15"/>
      <c r="I180" s="15"/>
      <c r="J180" s="15"/>
      <c r="K180" s="15"/>
      <c r="L180" s="15"/>
      <c r="M180" s="15"/>
      <c r="N180" s="13"/>
      <c r="O180" s="14"/>
      <c r="P180" s="14"/>
      <c r="Q180" s="14"/>
      <c r="R180" s="14"/>
      <c r="S180" s="14"/>
      <c r="T180" s="13"/>
      <c r="U180" s="13"/>
      <c r="V180" s="13"/>
      <c r="W180" s="13"/>
      <c r="X180" s="13"/>
      <c r="Y180" s="13"/>
      <c r="Z180" s="13"/>
    </row>
    <row r="181" spans="1:26" x14ac:dyDescent="0.2">
      <c r="A181" s="16"/>
      <c r="B181" s="13"/>
      <c r="C181" s="15"/>
      <c r="D181" s="15"/>
      <c r="E181" s="15"/>
      <c r="F181" s="15"/>
      <c r="G181" s="15"/>
      <c r="H181" s="15"/>
      <c r="I181" s="15"/>
      <c r="J181" s="15"/>
      <c r="K181" s="15"/>
      <c r="L181" s="15"/>
      <c r="M181" s="15"/>
      <c r="N181" s="13"/>
      <c r="O181" s="14"/>
      <c r="P181" s="14"/>
      <c r="Q181" s="14"/>
      <c r="R181" s="14"/>
      <c r="S181" s="14"/>
      <c r="T181" s="13"/>
      <c r="U181" s="13"/>
      <c r="V181" s="13"/>
      <c r="W181" s="13"/>
      <c r="X181" s="13"/>
      <c r="Y181" s="13"/>
      <c r="Z181" s="13"/>
    </row>
    <row r="182" spans="1:26" x14ac:dyDescent="0.2">
      <c r="A182" s="16"/>
      <c r="B182" s="13"/>
      <c r="C182" s="15"/>
      <c r="D182" s="15"/>
      <c r="E182" s="15"/>
      <c r="F182" s="15"/>
      <c r="G182" s="15"/>
      <c r="H182" s="15"/>
      <c r="I182" s="15"/>
      <c r="J182" s="15"/>
      <c r="K182" s="15"/>
      <c r="L182" s="15"/>
      <c r="M182" s="15"/>
      <c r="N182" s="13"/>
      <c r="O182" s="14"/>
      <c r="P182" s="14"/>
      <c r="Q182" s="14"/>
      <c r="R182" s="14"/>
      <c r="S182" s="14"/>
      <c r="T182" s="13"/>
      <c r="U182" s="13"/>
      <c r="V182" s="13"/>
      <c r="W182" s="13"/>
      <c r="X182" s="13"/>
      <c r="Y182" s="13"/>
      <c r="Z182" s="13"/>
    </row>
    <row r="183" spans="1:26" x14ac:dyDescent="0.2">
      <c r="A183" s="16"/>
      <c r="B183" s="13"/>
      <c r="C183" s="15"/>
      <c r="D183" s="15"/>
      <c r="E183" s="15"/>
      <c r="F183" s="15"/>
      <c r="G183" s="15"/>
      <c r="H183" s="15"/>
      <c r="I183" s="15"/>
      <c r="J183" s="15"/>
      <c r="K183" s="15"/>
      <c r="L183" s="15"/>
      <c r="M183" s="15"/>
      <c r="N183" s="13"/>
      <c r="O183" s="14"/>
      <c r="P183" s="14"/>
      <c r="Q183" s="14"/>
      <c r="R183" s="14"/>
      <c r="S183" s="14"/>
      <c r="T183" s="13"/>
      <c r="U183" s="13"/>
      <c r="V183" s="13"/>
      <c r="W183" s="13"/>
      <c r="X183" s="13"/>
      <c r="Y183" s="13"/>
      <c r="Z183" s="13"/>
    </row>
    <row r="184" spans="1:26" x14ac:dyDescent="0.2">
      <c r="A184" s="16"/>
      <c r="B184" s="13"/>
      <c r="C184" s="15"/>
      <c r="D184" s="15"/>
      <c r="E184" s="15"/>
      <c r="F184" s="15"/>
      <c r="G184" s="15"/>
      <c r="H184" s="15"/>
      <c r="I184" s="15"/>
      <c r="J184" s="15"/>
      <c r="K184" s="15"/>
      <c r="L184" s="15"/>
      <c r="M184" s="15"/>
      <c r="N184" s="13"/>
      <c r="O184" s="14"/>
      <c r="P184" s="14"/>
      <c r="Q184" s="14"/>
      <c r="R184" s="14"/>
      <c r="S184" s="14"/>
      <c r="T184" s="13"/>
      <c r="U184" s="13"/>
      <c r="V184" s="13"/>
      <c r="W184" s="13"/>
      <c r="X184" s="13"/>
      <c r="Y184" s="13"/>
      <c r="Z184" s="13"/>
    </row>
    <row r="185" spans="1:26" x14ac:dyDescent="0.2">
      <c r="A185" s="16"/>
      <c r="B185" s="13"/>
      <c r="C185" s="15"/>
      <c r="D185" s="15"/>
      <c r="E185" s="15"/>
      <c r="F185" s="15"/>
      <c r="G185" s="15"/>
      <c r="H185" s="15"/>
      <c r="I185" s="15"/>
      <c r="J185" s="15"/>
      <c r="K185" s="15"/>
      <c r="L185" s="15"/>
      <c r="M185" s="15"/>
      <c r="N185" s="13"/>
      <c r="O185" s="14"/>
      <c r="P185" s="14"/>
      <c r="Q185" s="14"/>
      <c r="R185" s="14"/>
      <c r="S185" s="14"/>
      <c r="T185" s="13"/>
      <c r="U185" s="13"/>
      <c r="V185" s="13"/>
      <c r="W185" s="13"/>
      <c r="X185" s="13"/>
      <c r="Y185" s="13"/>
      <c r="Z185" s="13"/>
    </row>
  </sheetData>
  <sheetProtection password="EA99" sheet="1" objects="1" scenarios="1"/>
  <mergeCells count="15">
    <mergeCell ref="A148:M148"/>
    <mergeCell ref="A153:M153"/>
    <mergeCell ref="A154:M154"/>
    <mergeCell ref="A155:M155"/>
    <mergeCell ref="A149:M149"/>
    <mergeCell ref="A150:M150"/>
    <mergeCell ref="A151:M151"/>
    <mergeCell ref="A152:M152"/>
    <mergeCell ref="L7:M7"/>
    <mergeCell ref="H6:I6"/>
    <mergeCell ref="J7:K7"/>
    <mergeCell ref="H5:I5"/>
    <mergeCell ref="D7:E7"/>
    <mergeCell ref="F7:G7"/>
    <mergeCell ref="H7:I7"/>
  </mergeCells>
  <phoneticPr fontId="0" type="noConversion"/>
  <conditionalFormatting sqref="D12:E104 D106:E141 D143:E144">
    <cfRule type="expression" dxfId="107" priority="248" stopIfTrue="1">
      <formula>$A12=$A$9</formula>
    </cfRule>
  </conditionalFormatting>
  <conditionalFormatting sqref="L12:L104 B12:C104 B106:C141 L106:L141 L143:L144 B143:C144">
    <cfRule type="expression" dxfId="106" priority="247" stopIfTrue="1">
      <formula>$A12=$A$9</formula>
    </cfRule>
  </conditionalFormatting>
  <conditionalFormatting sqref="F12:I104 F106:I141 F143:I144">
    <cfRule type="expression" dxfId="105" priority="246" stopIfTrue="1">
      <formula>$A12=$A$9</formula>
    </cfRule>
  </conditionalFormatting>
  <conditionalFormatting sqref="J12:K104 J106:K141 J143:K144">
    <cfRule type="expression" dxfId="104" priority="245" stopIfTrue="1">
      <formula>$A12=$A$9</formula>
    </cfRule>
  </conditionalFormatting>
  <conditionalFormatting sqref="M12:M104 M106:M141 M143:M144">
    <cfRule type="expression" dxfId="103" priority="244" stopIfTrue="1">
      <formula>$A12=$A$9</formula>
    </cfRule>
  </conditionalFormatting>
  <conditionalFormatting sqref="A12:A104 A106:A141 A143:A144">
    <cfRule type="expression" dxfId="102" priority="243" stopIfTrue="1">
      <formula>$A12=$A$9</formula>
    </cfRule>
  </conditionalFormatting>
  <conditionalFormatting sqref="D12:E104">
    <cfRule type="expression" dxfId="101" priority="226" stopIfTrue="1">
      <formula>$A12=$A$9</formula>
    </cfRule>
  </conditionalFormatting>
  <conditionalFormatting sqref="B12:C104 L12:L104">
    <cfRule type="expression" dxfId="100" priority="225" stopIfTrue="1">
      <formula>$A12=$A$9</formula>
    </cfRule>
  </conditionalFormatting>
  <conditionalFormatting sqref="F12:I104">
    <cfRule type="expression" dxfId="99" priority="224" stopIfTrue="1">
      <formula>$A12=$A$9</formula>
    </cfRule>
  </conditionalFormatting>
  <conditionalFormatting sqref="J12:K104">
    <cfRule type="expression" dxfId="98" priority="223" stopIfTrue="1">
      <formula>$A12=$A$9</formula>
    </cfRule>
  </conditionalFormatting>
  <conditionalFormatting sqref="M12:M104">
    <cfRule type="expression" dxfId="97" priority="222" stopIfTrue="1">
      <formula>$A12=$A$9</formula>
    </cfRule>
  </conditionalFormatting>
  <conditionalFormatting sqref="A12:A104">
    <cfRule type="expression" dxfId="96" priority="221" stopIfTrue="1">
      <formula>$A12=$A$9</formula>
    </cfRule>
  </conditionalFormatting>
  <conditionalFormatting sqref="D106:E141">
    <cfRule type="expression" dxfId="95" priority="220" stopIfTrue="1">
      <formula>$A106=$A$9</formula>
    </cfRule>
  </conditionalFormatting>
  <conditionalFormatting sqref="B106:C141 L106:L141">
    <cfRule type="expression" dxfId="94" priority="219" stopIfTrue="1">
      <formula>$A106=$A$9</formula>
    </cfRule>
  </conditionalFormatting>
  <conditionalFormatting sqref="F106:I141">
    <cfRule type="expression" dxfId="93" priority="218" stopIfTrue="1">
      <formula>$A106=$A$9</formula>
    </cfRule>
  </conditionalFormatting>
  <conditionalFormatting sqref="J106:K141">
    <cfRule type="expression" dxfId="92" priority="217" stopIfTrue="1">
      <formula>$A106=$A$9</formula>
    </cfRule>
  </conditionalFormatting>
  <conditionalFormatting sqref="M106:M141">
    <cfRule type="expression" dxfId="91" priority="216" stopIfTrue="1">
      <formula>$A106=$A$9</formula>
    </cfRule>
  </conditionalFormatting>
  <conditionalFormatting sqref="A106:A141">
    <cfRule type="expression" dxfId="90" priority="215" stopIfTrue="1">
      <formula>$A106=$A$9</formula>
    </cfRule>
  </conditionalFormatting>
  <conditionalFormatting sqref="D143:E144">
    <cfRule type="expression" dxfId="89" priority="214" stopIfTrue="1">
      <formula>$A143=$A$9</formula>
    </cfRule>
  </conditionalFormatting>
  <conditionalFormatting sqref="B143:C144 L143:L144">
    <cfRule type="expression" dxfId="88" priority="213" stopIfTrue="1">
      <formula>$A143=$A$9</formula>
    </cfRule>
  </conditionalFormatting>
  <conditionalFormatting sqref="F143:I144">
    <cfRule type="expression" dxfId="87" priority="212" stopIfTrue="1">
      <formula>$A143=$A$9</formula>
    </cfRule>
  </conditionalFormatting>
  <conditionalFormatting sqref="J143:K144">
    <cfRule type="expression" dxfId="86" priority="211" stopIfTrue="1">
      <formula>$A143=$A$9</formula>
    </cfRule>
  </conditionalFormatting>
  <conditionalFormatting sqref="M143:M144">
    <cfRule type="expression" dxfId="85" priority="210" stopIfTrue="1">
      <formula>$A143=$A$9</formula>
    </cfRule>
  </conditionalFormatting>
  <conditionalFormatting sqref="A143:A144">
    <cfRule type="expression" dxfId="84" priority="209" stopIfTrue="1">
      <formula>$A143=$A$9</formula>
    </cfRule>
  </conditionalFormatting>
  <conditionalFormatting sqref="G12:G104">
    <cfRule type="expression" dxfId="83" priority="208" stopIfTrue="1">
      <formula>$A12=$A$9</formula>
    </cfRule>
  </conditionalFormatting>
  <conditionalFormatting sqref="G12:G104">
    <cfRule type="expression" dxfId="82" priority="207" stopIfTrue="1">
      <formula>$A12=$A$9</formula>
    </cfRule>
  </conditionalFormatting>
  <conditionalFormatting sqref="G106:G141">
    <cfRule type="expression" dxfId="81" priority="206" stopIfTrue="1">
      <formula>$A106=$A$9</formula>
    </cfRule>
  </conditionalFormatting>
  <conditionalFormatting sqref="G106:G141">
    <cfRule type="expression" dxfId="80" priority="205" stopIfTrue="1">
      <formula>$A106=$A$9</formula>
    </cfRule>
  </conditionalFormatting>
  <conditionalFormatting sqref="G106:G141">
    <cfRule type="expression" dxfId="79" priority="204" stopIfTrue="1">
      <formula>$A106=$A$9</formula>
    </cfRule>
  </conditionalFormatting>
  <conditionalFormatting sqref="G143:G144">
    <cfRule type="expression" dxfId="78" priority="203" stopIfTrue="1">
      <formula>$A143=$A$9</formula>
    </cfRule>
  </conditionalFormatting>
  <conditionalFormatting sqref="G143:G144">
    <cfRule type="expression" dxfId="77" priority="202" stopIfTrue="1">
      <formula>$A143=$A$9</formula>
    </cfRule>
  </conditionalFormatting>
  <conditionalFormatting sqref="G143:G144">
    <cfRule type="expression" dxfId="76" priority="201" stopIfTrue="1">
      <formula>$A143=$A$9</formula>
    </cfRule>
  </conditionalFormatting>
  <conditionalFormatting sqref="E143:E144">
    <cfRule type="expression" dxfId="75" priority="200" stopIfTrue="1">
      <formula>$A143=$A$9</formula>
    </cfRule>
  </conditionalFormatting>
  <conditionalFormatting sqref="E143:E144">
    <cfRule type="expression" dxfId="74" priority="199" stopIfTrue="1">
      <formula>$A143=$A$9</formula>
    </cfRule>
  </conditionalFormatting>
  <conditionalFormatting sqref="E143:E144">
    <cfRule type="expression" dxfId="73" priority="198" stopIfTrue="1">
      <formula>$A143=$A$9</formula>
    </cfRule>
  </conditionalFormatting>
  <conditionalFormatting sqref="E143:E144">
    <cfRule type="expression" dxfId="72" priority="197" stopIfTrue="1">
      <formula>$A143=$A$9</formula>
    </cfRule>
  </conditionalFormatting>
  <conditionalFormatting sqref="E106:E141">
    <cfRule type="expression" dxfId="71" priority="196" stopIfTrue="1">
      <formula>$A106=$A$9</formula>
    </cfRule>
  </conditionalFormatting>
  <conditionalFormatting sqref="E106:E141">
    <cfRule type="expression" dxfId="70" priority="195" stopIfTrue="1">
      <formula>$A106=$A$9</formula>
    </cfRule>
  </conditionalFormatting>
  <conditionalFormatting sqref="E106:E141">
    <cfRule type="expression" dxfId="69" priority="194" stopIfTrue="1">
      <formula>$A106=$A$9</formula>
    </cfRule>
  </conditionalFormatting>
  <conditionalFormatting sqref="E106:E141">
    <cfRule type="expression" dxfId="68" priority="193" stopIfTrue="1">
      <formula>$A106=$A$9</formula>
    </cfRule>
  </conditionalFormatting>
  <conditionalFormatting sqref="I12:I104">
    <cfRule type="expression" dxfId="67" priority="192" stopIfTrue="1">
      <formula>$A12=$A$9</formula>
    </cfRule>
  </conditionalFormatting>
  <conditionalFormatting sqref="I12:I104">
    <cfRule type="expression" dxfId="66" priority="191" stopIfTrue="1">
      <formula>$A12=$A$9</formula>
    </cfRule>
  </conditionalFormatting>
  <conditionalFormatting sqref="I106:I141">
    <cfRule type="expression" dxfId="65" priority="190" stopIfTrue="1">
      <formula>$A106=$A$9</formula>
    </cfRule>
  </conditionalFormatting>
  <conditionalFormatting sqref="I106:I141">
    <cfRule type="expression" dxfId="64" priority="189" stopIfTrue="1">
      <formula>$A106=$A$9</formula>
    </cfRule>
  </conditionalFormatting>
  <conditionalFormatting sqref="I106:I141">
    <cfRule type="expression" dxfId="63" priority="188" stopIfTrue="1">
      <formula>$A106=$A$9</formula>
    </cfRule>
  </conditionalFormatting>
  <conditionalFormatting sqref="I143:I144">
    <cfRule type="expression" dxfId="62" priority="187" stopIfTrue="1">
      <formula>$A143=$A$9</formula>
    </cfRule>
  </conditionalFormatting>
  <conditionalFormatting sqref="I143:I144">
    <cfRule type="expression" dxfId="61" priority="186" stopIfTrue="1">
      <formula>$A143=$A$9</formula>
    </cfRule>
  </conditionalFormatting>
  <conditionalFormatting sqref="I143:I144">
    <cfRule type="expression" dxfId="60" priority="185" stopIfTrue="1">
      <formula>$A143=$A$9</formula>
    </cfRule>
  </conditionalFormatting>
  <conditionalFormatting sqref="K143:K144">
    <cfRule type="expression" dxfId="59" priority="184" stopIfTrue="1">
      <formula>$A143=$A$9</formula>
    </cfRule>
  </conditionalFormatting>
  <conditionalFormatting sqref="K143:K144">
    <cfRule type="expression" dxfId="58" priority="183" stopIfTrue="1">
      <formula>$A143=$A$9</formula>
    </cfRule>
  </conditionalFormatting>
  <conditionalFormatting sqref="K143:K144">
    <cfRule type="expression" dxfId="57" priority="182" stopIfTrue="1">
      <formula>$A143=$A$9</formula>
    </cfRule>
  </conditionalFormatting>
  <conditionalFormatting sqref="K143:K144">
    <cfRule type="expression" dxfId="56" priority="181" stopIfTrue="1">
      <formula>$A143=$A$9</formula>
    </cfRule>
  </conditionalFormatting>
  <conditionalFormatting sqref="K106:K141">
    <cfRule type="expression" dxfId="55" priority="180" stopIfTrue="1">
      <formula>$A106=$A$9</formula>
    </cfRule>
  </conditionalFormatting>
  <conditionalFormatting sqref="K106:K141">
    <cfRule type="expression" dxfId="54" priority="179" stopIfTrue="1">
      <formula>$A106=$A$9</formula>
    </cfRule>
  </conditionalFormatting>
  <conditionalFormatting sqref="K106:K141">
    <cfRule type="expression" dxfId="53" priority="178" stopIfTrue="1">
      <formula>$A106=$A$9</formula>
    </cfRule>
  </conditionalFormatting>
  <conditionalFormatting sqref="K106:K141">
    <cfRule type="expression" dxfId="52" priority="177" stopIfTrue="1">
      <formula>$A106=$A$9</formula>
    </cfRule>
  </conditionalFormatting>
  <conditionalFormatting sqref="K12:K104">
    <cfRule type="expression" dxfId="51" priority="176" stopIfTrue="1">
      <formula>$A12=$A$9</formula>
    </cfRule>
  </conditionalFormatting>
  <conditionalFormatting sqref="K12:K104">
    <cfRule type="expression" dxfId="50" priority="175" stopIfTrue="1">
      <formula>$A12=$A$9</formula>
    </cfRule>
  </conditionalFormatting>
  <conditionalFormatting sqref="K12:K104">
    <cfRule type="expression" dxfId="49" priority="174" stopIfTrue="1">
      <formula>$A12=$A$9</formula>
    </cfRule>
  </conditionalFormatting>
  <conditionalFormatting sqref="K12:K104">
    <cfRule type="expression" dxfId="48" priority="173" stopIfTrue="1">
      <formula>$A12=$A$9</formula>
    </cfRule>
  </conditionalFormatting>
  <conditionalFormatting sqref="M12:M104">
    <cfRule type="expression" dxfId="47" priority="172" stopIfTrue="1">
      <formula>$A12=$A$9</formula>
    </cfRule>
  </conditionalFormatting>
  <conditionalFormatting sqref="M12:M104">
    <cfRule type="expression" dxfId="46" priority="171" stopIfTrue="1">
      <formula>$A12=$A$9</formula>
    </cfRule>
  </conditionalFormatting>
  <conditionalFormatting sqref="M12:M104">
    <cfRule type="expression" dxfId="45" priority="170" stopIfTrue="1">
      <formula>$A12=$A$9</formula>
    </cfRule>
  </conditionalFormatting>
  <conditionalFormatting sqref="M12:M104">
    <cfRule type="expression" dxfId="44" priority="169" stopIfTrue="1">
      <formula>$A12=$A$9</formula>
    </cfRule>
  </conditionalFormatting>
  <conditionalFormatting sqref="M106:M141">
    <cfRule type="expression" dxfId="43" priority="168" stopIfTrue="1">
      <formula>$A106=$A$9</formula>
    </cfRule>
  </conditionalFormatting>
  <conditionalFormatting sqref="M106:M141">
    <cfRule type="expression" dxfId="42" priority="167" stopIfTrue="1">
      <formula>$A106=$A$9</formula>
    </cfRule>
  </conditionalFormatting>
  <conditionalFormatting sqref="M106:M141">
    <cfRule type="expression" dxfId="41" priority="166" stopIfTrue="1">
      <formula>$A106=$A$9</formula>
    </cfRule>
  </conditionalFormatting>
  <conditionalFormatting sqref="M106:M141">
    <cfRule type="expression" dxfId="40" priority="165" stopIfTrue="1">
      <formula>$A106=$A$9</formula>
    </cfRule>
  </conditionalFormatting>
  <conditionalFormatting sqref="M143:M144">
    <cfRule type="expression" dxfId="39" priority="164" stopIfTrue="1">
      <formula>$A143=$A$9</formula>
    </cfRule>
  </conditionalFormatting>
  <conditionalFormatting sqref="M143:M144">
    <cfRule type="expression" dxfId="38" priority="163" stopIfTrue="1">
      <formula>$A143=$A$9</formula>
    </cfRule>
  </conditionalFormatting>
  <conditionalFormatting sqref="M143:M144">
    <cfRule type="expression" dxfId="37" priority="162" stopIfTrue="1">
      <formula>$A143=$A$9</formula>
    </cfRule>
  </conditionalFormatting>
  <conditionalFormatting sqref="M143:M144">
    <cfRule type="expression" dxfId="36" priority="161" stopIfTrue="1">
      <formula>$A143=$A$9</formula>
    </cfRule>
  </conditionalFormatting>
  <conditionalFormatting sqref="D11:E11">
    <cfRule type="expression" dxfId="35" priority="53" stopIfTrue="1">
      <formula>$A11=$A$9</formula>
    </cfRule>
  </conditionalFormatting>
  <conditionalFormatting sqref="L11 C11">
    <cfRule type="expression" dxfId="34" priority="52" stopIfTrue="1">
      <formula>$A11=$A$9</formula>
    </cfRule>
  </conditionalFormatting>
  <conditionalFormatting sqref="F11:I11">
    <cfRule type="expression" dxfId="33" priority="51" stopIfTrue="1">
      <formula>$A11=$A$9</formula>
    </cfRule>
  </conditionalFormatting>
  <conditionalFormatting sqref="J11:K11">
    <cfRule type="expression" dxfId="32" priority="50" stopIfTrue="1">
      <formula>$A11=$A$9</formula>
    </cfRule>
  </conditionalFormatting>
  <conditionalFormatting sqref="M11">
    <cfRule type="expression" dxfId="31" priority="49" stopIfTrue="1">
      <formula>$A11=$A$9</formula>
    </cfRule>
  </conditionalFormatting>
  <conditionalFormatting sqref="D11:E11">
    <cfRule type="expression" dxfId="30" priority="38" stopIfTrue="1">
      <formula>$A11=$A$9</formula>
    </cfRule>
  </conditionalFormatting>
  <conditionalFormatting sqref="C11 L11">
    <cfRule type="expression" dxfId="29" priority="37" stopIfTrue="1">
      <formula>$A11=$A$9</formula>
    </cfRule>
  </conditionalFormatting>
  <conditionalFormatting sqref="F11:I11">
    <cfRule type="expression" dxfId="28" priority="36" stopIfTrue="1">
      <formula>$A11=$A$9</formula>
    </cfRule>
  </conditionalFormatting>
  <conditionalFormatting sqref="J11:K11">
    <cfRule type="expression" dxfId="27" priority="35" stopIfTrue="1">
      <formula>$A11=$A$9</formula>
    </cfRule>
  </conditionalFormatting>
  <conditionalFormatting sqref="M11">
    <cfRule type="expression" dxfId="26" priority="34" stopIfTrue="1">
      <formula>$A11=$A$9</formula>
    </cfRule>
  </conditionalFormatting>
  <conditionalFormatting sqref="G11">
    <cfRule type="expression" dxfId="25" priority="32" stopIfTrue="1">
      <formula>$A11=$A$9</formula>
    </cfRule>
  </conditionalFormatting>
  <conditionalFormatting sqref="G11">
    <cfRule type="expression" dxfId="24" priority="31" stopIfTrue="1">
      <formula>$A11=$A$9</formula>
    </cfRule>
  </conditionalFormatting>
  <conditionalFormatting sqref="I11">
    <cfRule type="expression" dxfId="23" priority="30" stopIfTrue="1">
      <formula>$A11=$A$9</formula>
    </cfRule>
  </conditionalFormatting>
  <conditionalFormatting sqref="I11">
    <cfRule type="expression" dxfId="22" priority="29" stopIfTrue="1">
      <formula>$A11=$A$9</formula>
    </cfRule>
  </conditionalFormatting>
  <conditionalFormatting sqref="K11">
    <cfRule type="expression" dxfId="21" priority="28" stopIfTrue="1">
      <formula>$A11=$A$9</formula>
    </cfRule>
  </conditionalFormatting>
  <conditionalFormatting sqref="K11">
    <cfRule type="expression" dxfId="20" priority="27" stopIfTrue="1">
      <formula>$A11=$A$9</formula>
    </cfRule>
  </conditionalFormatting>
  <conditionalFormatting sqref="K11">
    <cfRule type="expression" dxfId="19" priority="26" stopIfTrue="1">
      <formula>$A11=$A$9</formula>
    </cfRule>
  </conditionalFormatting>
  <conditionalFormatting sqref="K11">
    <cfRule type="expression" dxfId="18" priority="25" stopIfTrue="1">
      <formula>$A11=$A$9</formula>
    </cfRule>
  </conditionalFormatting>
  <conditionalFormatting sqref="M11">
    <cfRule type="expression" dxfId="17" priority="24" stopIfTrue="1">
      <formula>$A11=$A$9</formula>
    </cfRule>
  </conditionalFormatting>
  <conditionalFormatting sqref="M11">
    <cfRule type="expression" dxfId="16" priority="23" stopIfTrue="1">
      <formula>$A11=$A$9</formula>
    </cfRule>
  </conditionalFormatting>
  <conditionalFormatting sqref="M11">
    <cfRule type="expression" dxfId="15" priority="22" stopIfTrue="1">
      <formula>$A11=$A$9</formula>
    </cfRule>
  </conditionalFormatting>
  <conditionalFormatting sqref="M11">
    <cfRule type="expression" dxfId="14" priority="21" stopIfTrue="1">
      <formula>$A11=$A$9</formula>
    </cfRule>
  </conditionalFormatting>
  <conditionalFormatting sqref="B11">
    <cfRule type="expression" dxfId="13" priority="10" stopIfTrue="1">
      <formula>$A11=$A$9</formula>
    </cfRule>
  </conditionalFormatting>
  <conditionalFormatting sqref="A11">
    <cfRule type="expression" dxfId="12" priority="9" stopIfTrue="1">
      <formula>$A11=$A$9</formula>
    </cfRule>
  </conditionalFormatting>
  <conditionalFormatting sqref="B11">
    <cfRule type="expression" dxfId="11" priority="2" stopIfTrue="1">
      <formula>$A11=$A$9</formula>
    </cfRule>
  </conditionalFormatting>
  <conditionalFormatting sqref="A11">
    <cfRule type="expression" dxfId="10" priority="1" stopIfTrue="1">
      <formula>$A11=$A$9</formula>
    </cfRule>
  </conditionalFormatting>
  <printOptions horizontalCentered="1"/>
  <pageMargins left="0.25" right="0.25" top="0.25" bottom="0.35" header="0.24" footer="0.2"/>
  <pageSetup scale="70" fitToHeight="3" orientation="landscape" horizontalDpi="300" verticalDpi="300" r:id="rId1"/>
  <headerFooter alignWithMargins="0">
    <oddHeader>&amp;RApril 5, 2018</oddHeader>
    <oddFooter>&amp;C&amp;P</oddFooter>
  </headerFooter>
  <rowBreaks count="2" manualBreakCount="2">
    <brk id="62" max="12" man="1"/>
    <brk id="115" max="12"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22"/>
    <pageSetUpPr fitToPage="1"/>
  </sheetPr>
  <dimension ref="A1:AR183"/>
  <sheetViews>
    <sheetView zoomScale="90" zoomScaleNormal="90" workbookViewId="0">
      <pane ySplit="6" topLeftCell="A7" activePane="bottomLeft" state="frozen"/>
      <selection pane="bottomLeft" activeCell="A5" sqref="A5"/>
    </sheetView>
  </sheetViews>
  <sheetFormatPr defaultColWidth="9.140625" defaultRowHeight="15" x14ac:dyDescent="0.2"/>
  <cols>
    <col min="1" max="1" width="11" style="2" customWidth="1"/>
    <col min="2" max="2" width="32.85546875" style="2" customWidth="1"/>
    <col min="3" max="3" width="11.28515625" style="2" customWidth="1"/>
    <col min="4" max="5" width="20.7109375" style="2" customWidth="1"/>
    <col min="6" max="6" width="22.28515625" style="2" customWidth="1"/>
    <col min="7" max="7" width="2.5703125" style="2" customWidth="1"/>
    <col min="8" max="8" width="26.28515625" style="2" customWidth="1"/>
    <col min="9" max="9" width="18" style="67" bestFit="1" customWidth="1"/>
    <col min="10" max="10" width="11.42578125" style="70" customWidth="1"/>
    <col min="11" max="23" width="9.140625" style="24"/>
    <col min="24" max="25" width="9.140625" style="24" customWidth="1"/>
    <col min="26" max="26" width="9.140625" style="1" customWidth="1"/>
    <col min="27" max="27" width="11.140625" style="1" hidden="1" customWidth="1"/>
    <col min="28" max="28" width="24" style="1" hidden="1" customWidth="1"/>
    <col min="29" max="29" width="24.85546875" style="1" hidden="1" customWidth="1"/>
    <col min="30" max="30" width="13.85546875" style="1" hidden="1" customWidth="1"/>
    <col min="31" max="31" width="26.85546875" style="1" hidden="1" customWidth="1"/>
    <col min="32" max="32" width="16.5703125" style="1" hidden="1" customWidth="1"/>
    <col min="33" max="33" width="24.5703125" style="1" hidden="1" customWidth="1"/>
    <col min="34" max="34" width="14.28515625" style="1" hidden="1" customWidth="1"/>
    <col min="35" max="35" width="24" style="1" hidden="1" customWidth="1"/>
    <col min="36" max="36" width="13.7109375" style="1" hidden="1" customWidth="1"/>
    <col min="37" max="37" width="22.42578125" style="1" hidden="1" customWidth="1"/>
    <col min="38" max="38" width="27.7109375" style="1" hidden="1" customWidth="1"/>
    <col min="39" max="39" width="25" style="1" hidden="1" customWidth="1"/>
    <col min="40" max="40" width="30.28515625" style="1" hidden="1" customWidth="1"/>
    <col min="41" max="41" width="22.5703125" style="1" hidden="1" customWidth="1"/>
    <col min="42" max="42" width="27.85546875" style="1" hidden="1" customWidth="1"/>
    <col min="43" max="43" width="22" style="1" hidden="1" customWidth="1"/>
    <col min="44" max="44" width="27.42578125" style="1" hidden="1" customWidth="1"/>
    <col min="45" max="54" width="0" style="1" hidden="1" customWidth="1"/>
    <col min="55" max="16384" width="9.140625" style="1"/>
  </cols>
  <sheetData>
    <row r="1" spans="1:44" ht="25.5" customHeight="1" thickBot="1" x14ac:dyDescent="0.35">
      <c r="A1" s="345" t="s">
        <v>136</v>
      </c>
      <c r="B1" s="346"/>
      <c r="C1" s="346"/>
      <c r="D1" s="346"/>
      <c r="E1" s="346"/>
      <c r="F1" s="346"/>
      <c r="G1" s="346"/>
      <c r="H1" s="347"/>
      <c r="I1" s="65"/>
      <c r="J1" s="22"/>
      <c r="K1" s="17"/>
      <c r="L1" s="17"/>
      <c r="M1" s="17"/>
      <c r="N1" s="17"/>
      <c r="O1" s="17"/>
      <c r="P1" s="17"/>
      <c r="Q1" s="17"/>
      <c r="R1" s="17"/>
      <c r="S1" s="17"/>
      <c r="T1" s="17"/>
      <c r="U1" s="17"/>
      <c r="V1" s="17"/>
      <c r="W1" s="17"/>
      <c r="X1" s="17"/>
      <c r="Y1" s="17"/>
      <c r="Z1" s="17"/>
      <c r="AA1" s="36" t="s">
        <v>282</v>
      </c>
      <c r="AB1" s="37" t="s">
        <v>283</v>
      </c>
      <c r="AC1" s="38" t="s">
        <v>284</v>
      </c>
      <c r="AD1" s="38" t="s">
        <v>285</v>
      </c>
      <c r="AE1" s="38" t="s">
        <v>286</v>
      </c>
      <c r="AF1" s="38" t="s">
        <v>287</v>
      </c>
      <c r="AG1" s="38" t="s">
        <v>288</v>
      </c>
      <c r="AH1" s="38" t="s">
        <v>289</v>
      </c>
      <c r="AI1" s="38" t="s">
        <v>290</v>
      </c>
      <c r="AJ1" s="38" t="s">
        <v>291</v>
      </c>
      <c r="AK1" s="39" t="s">
        <v>447</v>
      </c>
      <c r="AL1" s="39" t="s">
        <v>448</v>
      </c>
      <c r="AM1" s="39" t="s">
        <v>449</v>
      </c>
      <c r="AN1" s="39" t="s">
        <v>450</v>
      </c>
      <c r="AO1" s="39" t="s">
        <v>451</v>
      </c>
      <c r="AP1" s="39" t="s">
        <v>452</v>
      </c>
      <c r="AQ1" s="39" t="s">
        <v>453</v>
      </c>
      <c r="AR1" s="39" t="s">
        <v>454</v>
      </c>
    </row>
    <row r="2" spans="1:44" s="83" customFormat="1" ht="46.5" customHeight="1" thickBot="1" x14ac:dyDescent="0.25">
      <c r="A2" s="348" t="s">
        <v>656</v>
      </c>
      <c r="B2" s="349"/>
      <c r="C2" s="349"/>
      <c r="D2" s="349"/>
      <c r="E2" s="349"/>
      <c r="F2" s="349"/>
      <c r="G2" s="349"/>
      <c r="H2" s="350"/>
      <c r="I2" s="77"/>
      <c r="J2" s="78"/>
      <c r="K2" s="79"/>
      <c r="L2" s="79"/>
      <c r="M2" s="79"/>
      <c r="N2" s="79"/>
      <c r="O2" s="79"/>
      <c r="P2" s="79"/>
      <c r="Q2" s="79"/>
      <c r="R2" s="79"/>
      <c r="S2" s="79"/>
      <c r="T2" s="79"/>
      <c r="U2" s="79"/>
      <c r="V2" s="79"/>
      <c r="W2" s="79"/>
      <c r="X2" s="79"/>
      <c r="Y2" s="79"/>
      <c r="Z2" s="79"/>
      <c r="AA2" s="234">
        <v>1</v>
      </c>
      <c r="AB2" s="235" t="s">
        <v>278</v>
      </c>
      <c r="AC2" s="125">
        <v>30493566.340000004</v>
      </c>
      <c r="AD2" s="125">
        <v>5846</v>
      </c>
      <c r="AE2" s="125">
        <v>6481413.6000000006</v>
      </c>
      <c r="AF2" s="125">
        <v>1243</v>
      </c>
      <c r="AG2" s="125">
        <v>16844674.519999996</v>
      </c>
      <c r="AH2" s="125">
        <v>3229</v>
      </c>
      <c r="AI2" s="125">
        <v>58778173.780000001</v>
      </c>
      <c r="AJ2" s="125">
        <v>11269</v>
      </c>
      <c r="AK2" s="126">
        <f>VLOOKUP(AA2,'FY 2018 TABLE 15'!$A$11:$M$146,6,FALSE)-AC2</f>
        <v>1264928.4999999963</v>
      </c>
      <c r="AL2" s="126">
        <f>VLOOKUP(AA2,'FY 2018 TABLE 15'!$A$11:$M$146,7,FALSE)-AD2</f>
        <v>285</v>
      </c>
      <c r="AM2" s="126">
        <f>VLOOKUP(AA2,'FY 2018 TABLE 15'!$A$11:$M$146,10,FALSE)-AE2</f>
        <v>-407370.75000000093</v>
      </c>
      <c r="AN2" s="126">
        <f>VLOOKUP(AA2,'FY 2018 TABLE 15'!$A$11:$M$146,11,FALSE)-AF2</f>
        <v>-70</v>
      </c>
      <c r="AO2" s="126">
        <f>VLOOKUP(AA2,'FY 2018 TABLE 15'!$A$11:$M$146,4,FALSE)-AG2</f>
        <v>1662733.7000000179</v>
      </c>
      <c r="AP2" s="126">
        <f>VLOOKUP(AA2,'FY 2018 TABLE 15'!$A$11:$M$146,5,FALSE)-AH2</f>
        <v>344</v>
      </c>
      <c r="AQ2" s="126">
        <f>VLOOKUP(AA2,'FY 2018 TABLE 15'!$A$11:$M$146,12,FALSE)-AI2</f>
        <v>2575618.9300000146</v>
      </c>
      <c r="AR2" s="127">
        <f>VLOOKUP(AA2,'FY 2018 TABLE 15'!$A$11:$M$146,13,FALSE)-AJ2</f>
        <v>575</v>
      </c>
    </row>
    <row r="3" spans="1:44" ht="15.75" x14ac:dyDescent="0.25">
      <c r="A3" s="128"/>
      <c r="B3" s="105"/>
      <c r="C3" s="100"/>
      <c r="D3" s="100"/>
      <c r="E3" s="100"/>
      <c r="F3" s="100"/>
      <c r="G3" s="100"/>
      <c r="H3" s="129"/>
      <c r="I3" s="65"/>
      <c r="J3" s="22"/>
      <c r="K3" s="17"/>
      <c r="L3" s="17"/>
      <c r="M3" s="17"/>
      <c r="N3" s="17"/>
      <c r="O3" s="17"/>
      <c r="P3" s="17"/>
      <c r="Q3" s="17"/>
      <c r="R3" s="17"/>
      <c r="S3" s="17"/>
      <c r="T3" s="17"/>
      <c r="U3" s="17"/>
      <c r="V3" s="17"/>
      <c r="W3" s="17"/>
      <c r="X3" s="17"/>
      <c r="Y3" s="17"/>
      <c r="Z3" s="17"/>
      <c r="AA3" s="236">
        <v>2</v>
      </c>
      <c r="AB3" s="237" t="s">
        <v>151</v>
      </c>
      <c r="AC3" s="35">
        <v>32557294.419999987</v>
      </c>
      <c r="AD3" s="35">
        <v>2359</v>
      </c>
      <c r="AE3" s="35">
        <v>10142757.870000003</v>
      </c>
      <c r="AF3" s="35">
        <v>735</v>
      </c>
      <c r="AG3" s="35">
        <v>128405694.37</v>
      </c>
      <c r="AH3" s="35">
        <v>9304</v>
      </c>
      <c r="AI3" s="35">
        <v>187260598.41999999</v>
      </c>
      <c r="AJ3" s="35">
        <v>13568</v>
      </c>
      <c r="AK3" s="72">
        <f>VLOOKUP(AA3,'FY 2018 TABLE 15'!$A$11:$M$146,6,FALSE)-AC3</f>
        <v>668298.95000001788</v>
      </c>
      <c r="AL3" s="72">
        <f>VLOOKUP(AA3,'FY 2018 TABLE 15'!$A$11:$M$146,7,FALSE)-AD3</f>
        <v>34</v>
      </c>
      <c r="AM3" s="72">
        <f>VLOOKUP(AA3,'FY 2018 TABLE 15'!$A$11:$M$146,10,FALSE)-AE3</f>
        <v>-895118.57000000216</v>
      </c>
      <c r="AN3" s="72">
        <f>VLOOKUP(AA3,'FY 2018 TABLE 15'!$A$11:$M$146,11,FALSE)-AF3</f>
        <v>-69</v>
      </c>
      <c r="AO3" s="72">
        <f>VLOOKUP(AA3,'FY 2018 TABLE 15'!$A$11:$M$146,4,FALSE)-AG3</f>
        <v>16975628.979999989</v>
      </c>
      <c r="AP3" s="72">
        <f>VLOOKUP(AA3,'FY 2018 TABLE 15'!$A$11:$M$146,5,FALSE)-AH3</f>
        <v>1167</v>
      </c>
      <c r="AQ3" s="72">
        <f>VLOOKUP(AA3,'FY 2018 TABLE 15'!$A$11:$M$146,12,FALSE)-AI3</f>
        <v>16055788.580000013</v>
      </c>
      <c r="AR3" s="73">
        <f>VLOOKUP(AA3,'FY 2018 TABLE 15'!$A$11:$M$146,13,FALSE)-AJ3</f>
        <v>1076</v>
      </c>
    </row>
    <row r="4" spans="1:44" ht="15.75" x14ac:dyDescent="0.25">
      <c r="A4" s="130" t="s">
        <v>0</v>
      </c>
      <c r="B4" s="106" t="s">
        <v>1</v>
      </c>
      <c r="C4" s="103"/>
      <c r="D4" s="101"/>
      <c r="E4" s="101"/>
      <c r="F4" s="101"/>
      <c r="G4" s="101"/>
      <c r="H4" s="131"/>
      <c r="I4" s="65"/>
      <c r="J4" s="22"/>
      <c r="K4" s="17"/>
      <c r="L4" s="17"/>
      <c r="M4" s="17"/>
      <c r="N4" s="17"/>
      <c r="O4" s="17"/>
      <c r="P4" s="17"/>
      <c r="Q4" s="17"/>
      <c r="R4" s="17"/>
      <c r="S4" s="17"/>
      <c r="T4" s="17"/>
      <c r="U4" s="17"/>
      <c r="V4" s="17"/>
      <c r="W4" s="17"/>
      <c r="X4" s="17"/>
      <c r="Y4" s="17"/>
      <c r="Z4" s="17"/>
      <c r="AA4" s="236">
        <v>3</v>
      </c>
      <c r="AB4" s="237" t="s">
        <v>280</v>
      </c>
      <c r="AC4" s="35">
        <v>12484391.713321866</v>
      </c>
      <c r="AD4" s="35">
        <v>5708</v>
      </c>
      <c r="AE4" s="35">
        <v>1891264.0400000003</v>
      </c>
      <c r="AF4" s="35">
        <v>865</v>
      </c>
      <c r="AG4" s="35">
        <v>9492795.8300000001</v>
      </c>
      <c r="AH4" s="35">
        <v>4340</v>
      </c>
      <c r="AI4" s="35">
        <v>26245122.363321867</v>
      </c>
      <c r="AJ4" s="35">
        <v>11999</v>
      </c>
      <c r="AK4" s="72">
        <f>VLOOKUP(AA4,'FY 2018 TABLE 15'!$A$11:$M$146,6,FALSE)-AC4</f>
        <v>-67465.503755282611</v>
      </c>
      <c r="AL4" s="72">
        <f>VLOOKUP(AA4,'FY 2018 TABLE 15'!$A$11:$M$146,7,FALSE)-AD4</f>
        <v>77</v>
      </c>
      <c r="AM4" s="72">
        <f>VLOOKUP(AA4,'FY 2018 TABLE 15'!$A$11:$M$146,10,FALSE)-AE4</f>
        <v>114716.50999999954</v>
      </c>
      <c r="AN4" s="72">
        <f>VLOOKUP(AA4,'FY 2018 TABLE 15'!$A$11:$M$146,11,FALSE)-AF4</f>
        <v>70</v>
      </c>
      <c r="AO4" s="72">
        <f>VLOOKUP(AA4,'FY 2018 TABLE 15'!$A$11:$M$146,4,FALSE)-AG4</f>
        <v>-616331.75000002049</v>
      </c>
      <c r="AP4" s="72">
        <f>VLOOKUP(AA4,'FY 2018 TABLE 15'!$A$11:$M$146,5,FALSE)-AH4</f>
        <v>-204</v>
      </c>
      <c r="AQ4" s="72">
        <f>VLOOKUP(AA4,'FY 2018 TABLE 15'!$A$11:$M$146,12,FALSE)-AI4</f>
        <v>-590853.76375530288</v>
      </c>
      <c r="AR4" s="73">
        <f>VLOOKUP(AA4,'FY 2018 TABLE 15'!$A$11:$M$146,13,FALSE)-AJ4</f>
        <v>-47</v>
      </c>
    </row>
    <row r="5" spans="1:44" ht="21.95" customHeight="1" x14ac:dyDescent="0.25">
      <c r="A5" s="29">
        <v>0</v>
      </c>
      <c r="B5" s="30" t="s">
        <v>8</v>
      </c>
      <c r="C5" s="104"/>
      <c r="D5" s="101"/>
      <c r="E5" s="101"/>
      <c r="F5" s="101"/>
      <c r="G5" s="101"/>
      <c r="H5" s="131"/>
      <c r="I5" s="65"/>
      <c r="J5" s="22"/>
      <c r="K5" s="17"/>
      <c r="L5" s="17"/>
      <c r="M5" s="17"/>
      <c r="N5" s="17"/>
      <c r="O5" s="17"/>
      <c r="P5" s="17"/>
      <c r="Q5" s="17"/>
      <c r="R5" s="17"/>
      <c r="S5" s="17"/>
      <c r="T5" s="17"/>
      <c r="U5" s="17"/>
      <c r="V5" s="17"/>
      <c r="W5" s="17"/>
      <c r="X5" s="17"/>
      <c r="Y5" s="17"/>
      <c r="Z5" s="17"/>
      <c r="AA5" s="236">
        <v>4</v>
      </c>
      <c r="AB5" s="237" t="s">
        <v>152</v>
      </c>
      <c r="AC5" s="35">
        <v>8885775.8490424883</v>
      </c>
      <c r="AD5" s="35">
        <v>4970</v>
      </c>
      <c r="AE5" s="35">
        <v>1355456.45</v>
      </c>
      <c r="AF5" s="35">
        <v>758</v>
      </c>
      <c r="AG5" s="35">
        <v>5774534.5800000047</v>
      </c>
      <c r="AH5" s="35">
        <v>3230</v>
      </c>
      <c r="AI5" s="35">
        <v>18049479.299042493</v>
      </c>
      <c r="AJ5" s="35">
        <v>10095</v>
      </c>
      <c r="AK5" s="72">
        <f>VLOOKUP(AA5,'FY 2018 TABLE 15'!$A$11:$M$146,6,FALSE)-AC5</f>
        <v>362202.55387360044</v>
      </c>
      <c r="AL5" s="72">
        <f>VLOOKUP(AA5,'FY 2018 TABLE 15'!$A$11:$M$146,7,FALSE)-AD5</f>
        <v>200</v>
      </c>
      <c r="AM5" s="72">
        <f>VLOOKUP(AA5,'FY 2018 TABLE 15'!$A$11:$M$146,10,FALSE)-AE5</f>
        <v>89481.469999999739</v>
      </c>
      <c r="AN5" s="72">
        <f>VLOOKUP(AA5,'FY 2018 TABLE 15'!$A$11:$M$146,11,FALSE)-AF5</f>
        <v>50</v>
      </c>
      <c r="AO5" s="72">
        <f>VLOOKUP(AA5,'FY 2018 TABLE 15'!$A$11:$M$146,4,FALSE)-AG5</f>
        <v>-407034.9700000016</v>
      </c>
      <c r="AP5" s="72">
        <f>VLOOKUP(AA5,'FY 2018 TABLE 15'!$A$11:$M$146,5,FALSE)-AH5</f>
        <v>-230</v>
      </c>
      <c r="AQ5" s="72">
        <f>VLOOKUP(AA5,'FY 2018 TABLE 15'!$A$11:$M$146,12,FALSE)-AI5</f>
        <v>-15483.466126400977</v>
      </c>
      <c r="AR5" s="73">
        <f>VLOOKUP(AA5,'FY 2018 TABLE 15'!$A$11:$M$146,13,FALSE)-AJ5</f>
        <v>-14</v>
      </c>
    </row>
    <row r="6" spans="1:44" ht="11.1" customHeight="1" thickBot="1" x14ac:dyDescent="0.3">
      <c r="A6" s="132"/>
      <c r="B6" s="133"/>
      <c r="C6" s="134"/>
      <c r="D6" s="135"/>
      <c r="E6" s="135"/>
      <c r="F6" s="135"/>
      <c r="G6" s="135"/>
      <c r="H6" s="136"/>
      <c r="I6" s="65"/>
      <c r="J6" s="22"/>
      <c r="K6" s="17"/>
      <c r="L6" s="17"/>
      <c r="M6" s="17"/>
      <c r="N6" s="17"/>
      <c r="O6" s="17"/>
      <c r="P6" s="17"/>
      <c r="Q6" s="17"/>
      <c r="R6" s="17"/>
      <c r="S6" s="17"/>
      <c r="T6" s="17"/>
      <c r="U6" s="17"/>
      <c r="V6" s="17"/>
      <c r="W6" s="17"/>
      <c r="X6" s="17"/>
      <c r="Y6" s="17"/>
      <c r="Z6" s="17"/>
      <c r="AA6" s="236">
        <v>5</v>
      </c>
      <c r="AB6" s="237" t="s">
        <v>153</v>
      </c>
      <c r="AC6" s="35">
        <v>21622212.06398882</v>
      </c>
      <c r="AD6" s="35">
        <v>5263</v>
      </c>
      <c r="AE6" s="35">
        <v>3988762.9500000007</v>
      </c>
      <c r="AF6" s="35">
        <v>971</v>
      </c>
      <c r="AG6" s="35">
        <v>15556122.090000005</v>
      </c>
      <c r="AH6" s="35">
        <v>3786</v>
      </c>
      <c r="AI6" s="35">
        <v>46087120.703988828</v>
      </c>
      <c r="AJ6" s="35">
        <v>11217</v>
      </c>
      <c r="AK6" s="72">
        <f>VLOOKUP(AA6,'FY 2018 TABLE 15'!$A$11:$M$146,6,FALSE)-AC6</f>
        <v>136009.48168300465</v>
      </c>
      <c r="AL6" s="72">
        <f>VLOOKUP(AA6,'FY 2018 TABLE 15'!$A$11:$M$146,7,FALSE)-AD6</f>
        <v>141</v>
      </c>
      <c r="AM6" s="72">
        <f>VLOOKUP(AA6,'FY 2018 TABLE 15'!$A$11:$M$146,10,FALSE)-AE6</f>
        <v>-107379.74000000069</v>
      </c>
      <c r="AN6" s="72">
        <f>VLOOKUP(AA6,'FY 2018 TABLE 15'!$A$11:$M$146,11,FALSE)-AF6</f>
        <v>-7</v>
      </c>
      <c r="AO6" s="72">
        <f>VLOOKUP(AA6,'FY 2018 TABLE 15'!$A$11:$M$146,4,FALSE)-AG6</f>
        <v>-101003.80999995954</v>
      </c>
      <c r="AP6" s="72">
        <f>VLOOKUP(AA6,'FY 2018 TABLE 15'!$A$11:$M$146,5,FALSE)-AH6</f>
        <v>53</v>
      </c>
      <c r="AQ6" s="72">
        <f>VLOOKUP(AA6,'FY 2018 TABLE 15'!$A$11:$M$146,12,FALSE)-AI6</f>
        <v>-314894.58831695467</v>
      </c>
      <c r="AR6" s="73">
        <f>VLOOKUP(AA6,'FY 2018 TABLE 15'!$A$11:$M$146,13,FALSE)-AJ6</f>
        <v>152</v>
      </c>
    </row>
    <row r="7" spans="1:44" ht="11.1" customHeight="1" x14ac:dyDescent="0.25">
      <c r="A7" s="137"/>
      <c r="B7" s="100"/>
      <c r="C7" s="100"/>
      <c r="D7" s="100"/>
      <c r="E7" s="100"/>
      <c r="F7" s="105"/>
      <c r="G7" s="100"/>
      <c r="H7" s="138"/>
      <c r="I7" s="65"/>
      <c r="J7" s="22"/>
      <c r="K7" s="17"/>
      <c r="L7" s="17"/>
      <c r="M7" s="17"/>
      <c r="N7" s="17"/>
      <c r="O7" s="17"/>
      <c r="P7" s="17"/>
      <c r="Q7" s="17"/>
      <c r="R7" s="17"/>
      <c r="S7" s="17"/>
      <c r="T7" s="17"/>
      <c r="U7" s="17"/>
      <c r="V7" s="17"/>
      <c r="W7" s="17"/>
      <c r="X7" s="17"/>
      <c r="Y7" s="17"/>
      <c r="Z7" s="17"/>
      <c r="AA7" s="236">
        <v>6</v>
      </c>
      <c r="AB7" s="237" t="s">
        <v>154</v>
      </c>
      <c r="AC7" s="35">
        <v>11833119.795646213</v>
      </c>
      <c r="AD7" s="35">
        <v>5151</v>
      </c>
      <c r="AE7" s="35">
        <v>1911552.79</v>
      </c>
      <c r="AF7" s="35">
        <v>832</v>
      </c>
      <c r="AG7" s="35">
        <v>6032373.0199999986</v>
      </c>
      <c r="AH7" s="35">
        <v>2626</v>
      </c>
      <c r="AI7" s="35">
        <v>22253401.965646211</v>
      </c>
      <c r="AJ7" s="35">
        <v>9687</v>
      </c>
      <c r="AK7" s="72">
        <f>VLOOKUP(AA7,'FY 2018 TABLE 15'!$A$11:$M$146,6,FALSE)-AC7</f>
        <v>536217.71216354892</v>
      </c>
      <c r="AL7" s="72">
        <f>VLOOKUP(AA7,'FY 2018 TABLE 15'!$A$11:$M$146,7,FALSE)-AD7</f>
        <v>345</v>
      </c>
      <c r="AM7" s="72">
        <f>VLOOKUP(AA7,'FY 2018 TABLE 15'!$A$11:$M$146,10,FALSE)-AE7</f>
        <v>41027.569999999832</v>
      </c>
      <c r="AN7" s="72">
        <f>VLOOKUP(AA7,'FY 2018 TABLE 15'!$A$11:$M$146,11,FALSE)-AF7</f>
        <v>36</v>
      </c>
      <c r="AO7" s="72">
        <f>VLOOKUP(AA7,'FY 2018 TABLE 15'!$A$11:$M$146,4,FALSE)-AG7</f>
        <v>70365.220000036992</v>
      </c>
      <c r="AP7" s="72">
        <f>VLOOKUP(AA7,'FY 2018 TABLE 15'!$A$11:$M$146,5,FALSE)-AH7</f>
        <v>86</v>
      </c>
      <c r="AQ7" s="72">
        <f>VLOOKUP(AA7,'FY 2018 TABLE 15'!$A$11:$M$146,12,FALSE)-AI7</f>
        <v>526672.94216358662</v>
      </c>
      <c r="AR7" s="73">
        <f>VLOOKUP(AA7,'FY 2018 TABLE 15'!$A$11:$M$146,13,FALSE)-AJ7</f>
        <v>435</v>
      </c>
    </row>
    <row r="8" spans="1:44" ht="15" customHeight="1" x14ac:dyDescent="0.25">
      <c r="A8" s="334" t="s">
        <v>646</v>
      </c>
      <c r="B8" s="335"/>
      <c r="C8" s="335"/>
      <c r="D8" s="248"/>
      <c r="E8" s="108"/>
      <c r="F8" s="27" t="e">
        <f>SUM(VLOOKUP($A$5,'Source Data'!A2:P137,16,FALSE)+VLOOKUP($A$5,'Source Data'!A2:P137,15,FALSE))-F14-F16</f>
        <v>#N/A</v>
      </c>
      <c r="G8" s="103"/>
      <c r="H8" s="139"/>
      <c r="I8" s="65"/>
      <c r="J8" s="22"/>
      <c r="K8" s="17"/>
      <c r="L8" s="17"/>
      <c r="M8" s="17"/>
      <c r="N8" s="17"/>
      <c r="O8" s="17"/>
      <c r="P8" s="17"/>
      <c r="Q8" s="17"/>
      <c r="R8" s="17"/>
      <c r="S8" s="17"/>
      <c r="T8" s="17"/>
      <c r="U8" s="17"/>
      <c r="V8" s="17"/>
      <c r="W8" s="17"/>
      <c r="X8" s="17"/>
      <c r="Y8" s="17"/>
      <c r="Z8" s="17"/>
      <c r="AA8" s="236">
        <v>7</v>
      </c>
      <c r="AB8" s="237" t="s">
        <v>155</v>
      </c>
      <c r="AC8" s="35">
        <v>42845280.418288283</v>
      </c>
      <c r="AD8" s="35">
        <v>1627</v>
      </c>
      <c r="AE8" s="35">
        <v>15319516.500000002</v>
      </c>
      <c r="AF8" s="35">
        <v>582</v>
      </c>
      <c r="AG8" s="35">
        <v>438473479.92000002</v>
      </c>
      <c r="AH8" s="35">
        <v>16651</v>
      </c>
      <c r="AI8" s="35">
        <v>521312686.89828831</v>
      </c>
      <c r="AJ8" s="35">
        <v>19797</v>
      </c>
      <c r="AK8" s="72">
        <f>VLOOKUP(AA8,'FY 2018 TABLE 15'!$A$11:$M$146,6,FALSE)-AC8</f>
        <v>2376199.3371704891</v>
      </c>
      <c r="AL8" s="72">
        <f>VLOOKUP(AA8,'FY 2018 TABLE 15'!$A$11:$M$146,7,FALSE)-AD8</f>
        <v>49</v>
      </c>
      <c r="AM8" s="72">
        <f>VLOOKUP(AA8,'FY 2018 TABLE 15'!$A$11:$M$146,10,FALSE)-AE8</f>
        <v>1087103.089999998</v>
      </c>
      <c r="AN8" s="72">
        <f>VLOOKUP(AA8,'FY 2018 TABLE 15'!$A$11:$M$146,11,FALSE)-AF8</f>
        <v>26</v>
      </c>
      <c r="AO8" s="72">
        <f>VLOOKUP(AA8,'FY 2018 TABLE 15'!$A$11:$M$146,4,FALSE)-AG8</f>
        <v>25546791.400000215</v>
      </c>
      <c r="AP8" s="72">
        <f>VLOOKUP(AA8,'FY 2018 TABLE 15'!$A$11:$M$146,5,FALSE)-AH8</f>
        <v>542</v>
      </c>
      <c r="AQ8" s="72">
        <f>VLOOKUP(AA8,'FY 2018 TABLE 15'!$A$11:$M$146,12,FALSE)-AI8</f>
        <v>30859968.287170708</v>
      </c>
      <c r="AR8" s="73">
        <f>VLOOKUP(AA8,'FY 2018 TABLE 15'!$A$11:$M$146,13,FALSE)-AJ8</f>
        <v>663</v>
      </c>
    </row>
    <row r="9" spans="1:44" s="83" customFormat="1" ht="16.5" customHeight="1" x14ac:dyDescent="0.25">
      <c r="A9" s="351" t="s">
        <v>657</v>
      </c>
      <c r="B9" s="351"/>
      <c r="C9" s="351"/>
      <c r="D9" s="351"/>
      <c r="E9" s="118"/>
      <c r="F9" s="119"/>
      <c r="G9" s="118"/>
      <c r="H9" s="140"/>
      <c r="I9" s="77"/>
      <c r="J9" s="78"/>
      <c r="K9" s="79"/>
      <c r="L9" s="79"/>
      <c r="M9" s="79"/>
      <c r="N9" s="79"/>
      <c r="O9" s="79"/>
      <c r="P9" s="79"/>
      <c r="Q9" s="79"/>
      <c r="R9" s="79"/>
      <c r="S9" s="79"/>
      <c r="T9" s="79"/>
      <c r="U9" s="79"/>
      <c r="V9" s="79"/>
      <c r="W9" s="79"/>
      <c r="X9" s="79"/>
      <c r="Y9" s="79"/>
      <c r="Z9" s="79"/>
      <c r="AA9" s="236">
        <v>8</v>
      </c>
      <c r="AB9" s="237" t="s">
        <v>156</v>
      </c>
      <c r="AC9" s="80">
        <v>44544375.29312899</v>
      </c>
      <c r="AD9" s="80">
        <v>4324</v>
      </c>
      <c r="AE9" s="80">
        <v>10152353.970000001</v>
      </c>
      <c r="AF9" s="80">
        <v>986</v>
      </c>
      <c r="AG9" s="80">
        <v>42920014.539999992</v>
      </c>
      <c r="AH9" s="80">
        <v>4167</v>
      </c>
      <c r="AI9" s="80">
        <v>109159008.54312898</v>
      </c>
      <c r="AJ9" s="80">
        <v>10597</v>
      </c>
      <c r="AK9" s="81">
        <f>VLOOKUP(AA9,'FY 2018 TABLE 15'!$A$11:$M$146,6,FALSE)-AC9</f>
        <v>2031531.5389631465</v>
      </c>
      <c r="AL9" s="81">
        <f>VLOOKUP(AA9,'FY 2018 TABLE 15'!$A$11:$M$146,7,FALSE)-AD9</f>
        <v>261</v>
      </c>
      <c r="AM9" s="81">
        <f>VLOOKUP(AA9,'FY 2018 TABLE 15'!$A$11:$M$146,10,FALSE)-AE9</f>
        <v>-212683.18999999948</v>
      </c>
      <c r="AN9" s="81">
        <f>VLOOKUP(AA9,'FY 2018 TABLE 15'!$A$11:$M$146,11,FALSE)-AF9</f>
        <v>-7</v>
      </c>
      <c r="AO9" s="81">
        <f>VLOOKUP(AA9,'FY 2018 TABLE 15'!$A$11:$M$146,4,FALSE)-AG9</f>
        <v>1261807.2400000095</v>
      </c>
      <c r="AP9" s="81">
        <f>VLOOKUP(AA9,'FY 2018 TABLE 15'!$A$11:$M$146,5,FALSE)-AH9</f>
        <v>183</v>
      </c>
      <c r="AQ9" s="81">
        <f>VLOOKUP(AA9,'FY 2018 TABLE 15'!$A$11:$M$146,12,FALSE)-AI9</f>
        <v>2462611.2489631623</v>
      </c>
      <c r="AR9" s="82">
        <f>VLOOKUP(AA9,'FY 2018 TABLE 15'!$A$11:$M$146,13,FALSE)-AJ9</f>
        <v>392</v>
      </c>
    </row>
    <row r="10" spans="1:44" ht="15.75" x14ac:dyDescent="0.25">
      <c r="A10" s="141" t="s">
        <v>589</v>
      </c>
      <c r="B10" s="109"/>
      <c r="C10" s="109"/>
      <c r="D10" s="109"/>
      <c r="E10" s="110"/>
      <c r="F10" s="257" t="e">
        <f>VLOOKUP($A$5,'Source Data'!A2:P137,15, FALSE)</f>
        <v>#N/A</v>
      </c>
      <c r="G10" s="103"/>
      <c r="H10" s="139"/>
      <c r="I10" s="65"/>
      <c r="J10" s="22"/>
      <c r="K10" s="17"/>
      <c r="L10" s="17"/>
      <c r="M10" s="17"/>
      <c r="N10" s="17"/>
      <c r="O10" s="17"/>
      <c r="P10" s="17"/>
      <c r="Q10" s="17"/>
      <c r="R10" s="17"/>
      <c r="S10" s="17"/>
      <c r="T10" s="17"/>
      <c r="U10" s="17"/>
      <c r="V10" s="17"/>
      <c r="W10" s="17"/>
      <c r="X10" s="17"/>
      <c r="Y10" s="17"/>
      <c r="Z10" s="17"/>
      <c r="AA10" s="236">
        <v>9</v>
      </c>
      <c r="AB10" s="237" t="s">
        <v>157</v>
      </c>
      <c r="AC10" s="35">
        <v>1186959.3492770419</v>
      </c>
      <c r="AD10" s="35">
        <v>2142</v>
      </c>
      <c r="AE10" s="35">
        <v>750005.6</v>
      </c>
      <c r="AF10" s="35">
        <v>1353</v>
      </c>
      <c r="AG10" s="35">
        <v>8474265.6499999985</v>
      </c>
      <c r="AH10" s="35">
        <v>15292</v>
      </c>
      <c r="AI10" s="35">
        <v>11011559.819277041</v>
      </c>
      <c r="AJ10" s="35">
        <v>19871</v>
      </c>
      <c r="AK10" s="72">
        <f>VLOOKUP(AA10,'FY 2018 TABLE 15'!$A$11:$M$146,6,FALSE)-AC10</f>
        <v>-19945.460372894537</v>
      </c>
      <c r="AL10" s="72">
        <f>VLOOKUP(AA10,'FY 2018 TABLE 15'!$A$11:$M$146,7,FALSE)-AD10</f>
        <v>-29</v>
      </c>
      <c r="AM10" s="72">
        <f>VLOOKUP(AA10,'FY 2018 TABLE 15'!$A$11:$M$146,10,FALSE)-AE10</f>
        <v>139794.67000000004</v>
      </c>
      <c r="AN10" s="72">
        <f>VLOOKUP(AA10,'FY 2018 TABLE 15'!$A$11:$M$146,11,FALSE)-AF10</f>
        <v>258</v>
      </c>
      <c r="AO10" s="72">
        <f>VLOOKUP(AA10,'FY 2018 TABLE 15'!$A$11:$M$146,4,FALSE)-AG10</f>
        <v>-243876.02000000328</v>
      </c>
      <c r="AP10" s="72">
        <f>VLOOKUP(AA10,'FY 2018 TABLE 15'!$A$11:$M$146,5,FALSE)-AH10</f>
        <v>-391</v>
      </c>
      <c r="AQ10" s="72">
        <f>VLOOKUP(AA10,'FY 2018 TABLE 15'!$A$11:$M$146,12,FALSE)-AI10</f>
        <v>-128403.41037289798</v>
      </c>
      <c r="AR10" s="73">
        <f>VLOOKUP(AA10,'FY 2018 TABLE 15'!$A$11:$M$146,13,FALSE)-AJ10</f>
        <v>-167</v>
      </c>
    </row>
    <row r="11" spans="1:44" ht="6" customHeight="1" x14ac:dyDescent="0.25">
      <c r="A11" s="141"/>
      <c r="B11" s="109"/>
      <c r="C11" s="109"/>
      <c r="D11" s="109"/>
      <c r="E11" s="117"/>
      <c r="F11" s="258"/>
      <c r="G11" s="101"/>
      <c r="H11" s="139"/>
      <c r="I11" s="65"/>
      <c r="J11" s="22"/>
      <c r="K11" s="17"/>
      <c r="L11" s="17"/>
      <c r="M11" s="17"/>
      <c r="N11" s="17"/>
      <c r="O11" s="17"/>
      <c r="P11" s="17"/>
      <c r="Q11" s="17"/>
      <c r="R11" s="17"/>
      <c r="S11" s="17"/>
      <c r="T11" s="17"/>
      <c r="U11" s="17"/>
      <c r="V11" s="17"/>
      <c r="W11" s="17"/>
      <c r="X11" s="17"/>
      <c r="Y11" s="17"/>
      <c r="Z11" s="17"/>
      <c r="AA11" s="236">
        <v>10</v>
      </c>
      <c r="AB11" s="237" t="s">
        <v>599</v>
      </c>
      <c r="AC11" s="35">
        <v>43384469.757217973</v>
      </c>
      <c r="AD11" s="35">
        <v>4488</v>
      </c>
      <c r="AE11" s="35">
        <v>7960882.1000000006</v>
      </c>
      <c r="AF11" s="35">
        <v>824</v>
      </c>
      <c r="AG11" s="35">
        <v>37394612.029999994</v>
      </c>
      <c r="AH11" s="35">
        <v>3869</v>
      </c>
      <c r="AI11" s="35">
        <v>101757122.10721797</v>
      </c>
      <c r="AJ11" s="35">
        <v>10527</v>
      </c>
      <c r="AK11" s="72">
        <f>VLOOKUP(AA11,'FY 2018 TABLE 15'!$A$11:$M$146,6,FALSE)-AC11</f>
        <v>1658845.5968773216</v>
      </c>
      <c r="AL11" s="72">
        <f>VLOOKUP(AA11,'FY 2018 TABLE 15'!$A$11:$M$146,7,FALSE)-AD11</f>
        <v>185</v>
      </c>
      <c r="AM11" s="72">
        <f>VLOOKUP(AA11,'FY 2018 TABLE 15'!$A$11:$M$146,10,FALSE)-AE11</f>
        <v>-376863.45000000112</v>
      </c>
      <c r="AN11" s="72">
        <f>VLOOKUP(AA11,'FY 2018 TABLE 15'!$A$11:$M$146,11,FALSE)-AF11</f>
        <v>-37</v>
      </c>
      <c r="AO11" s="72">
        <f>VLOOKUP(AA11,'FY 2018 TABLE 15'!$A$11:$M$146,4,FALSE)-AG11</f>
        <v>1305187.3400000185</v>
      </c>
      <c r="AP11" s="72">
        <f>VLOOKUP(AA11,'FY 2018 TABLE 15'!$A$11:$M$146,5,FALSE)-AH11</f>
        <v>146</v>
      </c>
      <c r="AQ11" s="72">
        <f>VLOOKUP(AA11,'FY 2018 TABLE 15'!$A$11:$M$146,12,FALSE)-AI11</f>
        <v>1580039.2868773341</v>
      </c>
      <c r="AR11" s="73">
        <f>VLOOKUP(AA11,'FY 2018 TABLE 15'!$A$11:$M$146,13,FALSE)-AJ11</f>
        <v>195</v>
      </c>
    </row>
    <row r="12" spans="1:44" ht="15.75" x14ac:dyDescent="0.25">
      <c r="A12" s="141" t="s">
        <v>618</v>
      </c>
      <c r="B12" s="101"/>
      <c r="C12" s="109"/>
      <c r="D12" s="109"/>
      <c r="E12" s="117"/>
      <c r="F12" s="259"/>
      <c r="G12" s="101"/>
      <c r="H12" s="139"/>
      <c r="I12" s="65"/>
      <c r="J12" s="22"/>
      <c r="K12" s="17"/>
      <c r="L12" s="17"/>
      <c r="M12" s="17"/>
      <c r="N12" s="17"/>
      <c r="O12" s="17"/>
      <c r="P12" s="17"/>
      <c r="Q12" s="17"/>
      <c r="R12" s="17"/>
      <c r="S12" s="17"/>
      <c r="T12" s="17"/>
      <c r="U12" s="17"/>
      <c r="V12" s="17"/>
      <c r="W12" s="17"/>
      <c r="X12" s="17"/>
      <c r="Y12" s="17"/>
      <c r="Z12" s="17"/>
      <c r="AA12" s="236">
        <v>11</v>
      </c>
      <c r="AB12" s="237" t="s">
        <v>158</v>
      </c>
      <c r="AC12" s="35">
        <v>4128450.8092662478</v>
      </c>
      <c r="AD12" s="35">
        <v>5450</v>
      </c>
      <c r="AE12" s="35">
        <v>583024.53</v>
      </c>
      <c r="AF12" s="35">
        <v>770</v>
      </c>
      <c r="AG12" s="35">
        <v>2946824.8000000007</v>
      </c>
      <c r="AH12" s="35">
        <v>3890</v>
      </c>
      <c r="AI12" s="35">
        <v>8544175.2392662484</v>
      </c>
      <c r="AJ12" s="35">
        <v>11279</v>
      </c>
      <c r="AK12" s="72">
        <f>VLOOKUP(AA12,'FY 2018 TABLE 15'!$A$11:$M$146,6,FALSE)-AC12</f>
        <v>13068.199064594693</v>
      </c>
      <c r="AL12" s="72">
        <f>VLOOKUP(AA12,'FY 2018 TABLE 15'!$A$11:$M$146,7,FALSE)-AD12</f>
        <v>229</v>
      </c>
      <c r="AM12" s="72">
        <f>VLOOKUP(AA12,'FY 2018 TABLE 15'!$A$11:$M$146,10,FALSE)-AE12</f>
        <v>93449.030000000028</v>
      </c>
      <c r="AN12" s="72">
        <f>VLOOKUP(AA12,'FY 2018 TABLE 15'!$A$11:$M$146,11,FALSE)-AF12</f>
        <v>158</v>
      </c>
      <c r="AO12" s="72">
        <f>VLOOKUP(AA12,'FY 2018 TABLE 15'!$A$11:$M$146,4,FALSE)-AG12</f>
        <v>-338075.24000000022</v>
      </c>
      <c r="AP12" s="72">
        <f>VLOOKUP(AA12,'FY 2018 TABLE 15'!$A$11:$M$146,5,FALSE)-AH12</f>
        <v>-313</v>
      </c>
      <c r="AQ12" s="72">
        <f>VLOOKUP(AA12,'FY 2018 TABLE 15'!$A$11:$M$146,12,FALSE)-AI12</f>
        <v>-257029.55093540438</v>
      </c>
      <c r="AR12" s="73">
        <f>VLOOKUP(AA12,'FY 2018 TABLE 15'!$A$11:$M$146,13,FALSE)-AJ12</f>
        <v>85</v>
      </c>
    </row>
    <row r="13" spans="1:44" ht="6" customHeight="1" x14ac:dyDescent="0.25">
      <c r="A13" s="141"/>
      <c r="B13" s="101"/>
      <c r="C13" s="109"/>
      <c r="D13" s="109"/>
      <c r="E13" s="117"/>
      <c r="F13" s="260"/>
      <c r="G13" s="101"/>
      <c r="H13" s="139"/>
      <c r="I13" s="65"/>
      <c r="J13" s="22"/>
      <c r="K13" s="17"/>
      <c r="L13" s="17"/>
      <c r="M13" s="17"/>
      <c r="N13" s="17"/>
      <c r="O13" s="17"/>
      <c r="P13" s="17"/>
      <c r="Q13" s="17"/>
      <c r="R13" s="17"/>
      <c r="S13" s="17"/>
      <c r="T13" s="17"/>
      <c r="U13" s="17"/>
      <c r="V13" s="17"/>
      <c r="W13" s="17"/>
      <c r="X13" s="17"/>
      <c r="Y13" s="17"/>
      <c r="Z13" s="17"/>
      <c r="AA13" s="236">
        <v>12</v>
      </c>
      <c r="AB13" s="237" t="s">
        <v>159</v>
      </c>
      <c r="AC13" s="35">
        <v>19203349.993347172</v>
      </c>
      <c r="AD13" s="35">
        <v>4147</v>
      </c>
      <c r="AE13" s="35">
        <v>2254484.58</v>
      </c>
      <c r="AF13" s="35">
        <v>487</v>
      </c>
      <c r="AG13" s="35">
        <v>25585640.990000002</v>
      </c>
      <c r="AH13" s="35">
        <v>5525</v>
      </c>
      <c r="AI13" s="35">
        <v>52605487.283347175</v>
      </c>
      <c r="AJ13" s="35">
        <v>11359</v>
      </c>
      <c r="AK13" s="72">
        <f>VLOOKUP(AA13,'FY 2018 TABLE 15'!$A$11:$M$146,6,FALSE)-AC13</f>
        <v>673014.40987662598</v>
      </c>
      <c r="AL13" s="72">
        <f>VLOOKUP(AA13,'FY 2018 TABLE 15'!$A$11:$M$146,7,FALSE)-AD13</f>
        <v>140</v>
      </c>
      <c r="AM13" s="72">
        <f>VLOOKUP(AA13,'FY 2018 TABLE 15'!$A$11:$M$146,10,FALSE)-AE13</f>
        <v>321835.34999999963</v>
      </c>
      <c r="AN13" s="72">
        <f>VLOOKUP(AA13,'FY 2018 TABLE 15'!$A$11:$M$146,11,FALSE)-AF13</f>
        <v>69</v>
      </c>
      <c r="AO13" s="72">
        <f>VLOOKUP(AA13,'FY 2018 TABLE 15'!$A$11:$M$146,4,FALSE)-AG13</f>
        <v>-232082.72000001743</v>
      </c>
      <c r="AP13" s="72">
        <f>VLOOKUP(AA13,'FY 2018 TABLE 15'!$A$11:$M$146,5,FALSE)-AH13</f>
        <v>-56</v>
      </c>
      <c r="AQ13" s="72">
        <f>VLOOKUP(AA13,'FY 2018 TABLE 15'!$A$11:$M$146,12,FALSE)-AI13</f>
        <v>810635.75987660885</v>
      </c>
      <c r="AR13" s="73">
        <f>VLOOKUP(AA13,'FY 2018 TABLE 15'!$A$11:$M$146,13,FALSE)-AJ13</f>
        <v>162</v>
      </c>
    </row>
    <row r="14" spans="1:44" ht="15.75" x14ac:dyDescent="0.25">
      <c r="A14" s="141"/>
      <c r="B14" s="101" t="s">
        <v>610</v>
      </c>
      <c r="C14" s="109"/>
      <c r="D14" s="109"/>
      <c r="E14" s="110"/>
      <c r="F14" s="4" t="e">
        <f>VLOOKUP($A$5,'Source Data'!$AI$3:$AK$138,3,FALSE)</f>
        <v>#N/A</v>
      </c>
      <c r="G14" s="103"/>
      <c r="H14" s="139"/>
      <c r="I14" s="65"/>
      <c r="J14" s="22"/>
      <c r="K14" s="17"/>
      <c r="L14" s="17"/>
      <c r="M14" s="17"/>
      <c r="N14" s="17"/>
      <c r="O14" s="17"/>
      <c r="P14" s="17"/>
      <c r="Q14" s="17"/>
      <c r="R14" s="17"/>
      <c r="S14" s="17"/>
      <c r="T14" s="17"/>
      <c r="U14" s="17"/>
      <c r="V14" s="17"/>
      <c r="W14" s="17"/>
      <c r="X14" s="17"/>
      <c r="Y14" s="17"/>
      <c r="Z14" s="17"/>
      <c r="AA14" s="236">
        <v>13</v>
      </c>
      <c r="AB14" s="237" t="s">
        <v>160</v>
      </c>
      <c r="AC14" s="35">
        <v>11444215.889506439</v>
      </c>
      <c r="AD14" s="35">
        <v>6718</v>
      </c>
      <c r="AE14" s="35">
        <v>3447896.13</v>
      </c>
      <c r="AF14" s="35">
        <v>2024</v>
      </c>
      <c r="AG14" s="35">
        <v>5127260.0000000065</v>
      </c>
      <c r="AH14" s="35">
        <v>3010</v>
      </c>
      <c r="AI14" s="35">
        <v>22353256.419506446</v>
      </c>
      <c r="AJ14" s="35">
        <v>13123</v>
      </c>
      <c r="AK14" s="72">
        <f>VLOOKUP(AA14,'FY 2018 TABLE 15'!$A$11:$M$146,6,FALSE)-AC14</f>
        <v>-198745.75565441512</v>
      </c>
      <c r="AL14" s="72">
        <f>VLOOKUP(AA14,'FY 2018 TABLE 15'!$A$11:$M$146,7,FALSE)-AD14</f>
        <v>262</v>
      </c>
      <c r="AM14" s="72">
        <f>VLOOKUP(AA14,'FY 2018 TABLE 15'!$A$11:$M$146,10,FALSE)-AE14</f>
        <v>-166541.18000000017</v>
      </c>
      <c r="AN14" s="72">
        <f>VLOOKUP(AA14,'FY 2018 TABLE 15'!$A$11:$M$146,11,FALSE)-AF14</f>
        <v>13</v>
      </c>
      <c r="AO14" s="72">
        <f>VLOOKUP(AA14,'FY 2018 TABLE 15'!$A$11:$M$146,4,FALSE)-AG14</f>
        <v>493234.82000001241</v>
      </c>
      <c r="AP14" s="72">
        <f>VLOOKUP(AA14,'FY 2018 TABLE 15'!$A$11:$M$146,5,FALSE)-AH14</f>
        <v>478</v>
      </c>
      <c r="AQ14" s="72">
        <f>VLOOKUP(AA14,'FY 2018 TABLE 15'!$A$11:$M$146,12,FALSE)-AI14</f>
        <v>-45455.895654402673</v>
      </c>
      <c r="AR14" s="73">
        <f>VLOOKUP(AA14,'FY 2018 TABLE 15'!$A$11:$M$146,13,FALSE)-AJ14</f>
        <v>723</v>
      </c>
    </row>
    <row r="15" spans="1:44" ht="6" customHeight="1" x14ac:dyDescent="0.25">
      <c r="A15" s="141"/>
      <c r="B15" s="101"/>
      <c r="C15" s="109"/>
      <c r="D15" s="109"/>
      <c r="E15" s="117"/>
      <c r="F15" s="261"/>
      <c r="G15" s="101"/>
      <c r="H15" s="139"/>
      <c r="I15" s="65"/>
      <c r="J15" s="22"/>
      <c r="K15" s="17"/>
      <c r="L15" s="17"/>
      <c r="M15" s="17"/>
      <c r="N15" s="17"/>
      <c r="O15" s="17"/>
      <c r="P15" s="17"/>
      <c r="Q15" s="17"/>
      <c r="R15" s="17"/>
      <c r="S15" s="17"/>
      <c r="T15" s="17"/>
      <c r="U15" s="17"/>
      <c r="V15" s="17"/>
      <c r="W15" s="17"/>
      <c r="X15" s="17"/>
      <c r="Y15" s="17"/>
      <c r="Z15" s="17"/>
      <c r="AA15" s="236">
        <v>14</v>
      </c>
      <c r="AB15" s="237" t="s">
        <v>161</v>
      </c>
      <c r="AC15" s="35">
        <v>16344026.504572613</v>
      </c>
      <c r="AD15" s="35">
        <v>5622</v>
      </c>
      <c r="AE15" s="35">
        <v>4048709.93</v>
      </c>
      <c r="AF15" s="35">
        <v>1393</v>
      </c>
      <c r="AG15" s="35">
        <v>9234576.9399999995</v>
      </c>
      <c r="AH15" s="35">
        <v>3176</v>
      </c>
      <c r="AI15" s="35">
        <v>32815768.034572612</v>
      </c>
      <c r="AJ15" s="35">
        <v>11288</v>
      </c>
      <c r="AK15" s="72">
        <f>VLOOKUP(AA15,'FY 2018 TABLE 15'!$A$11:$M$146,6,FALSE)-AC15</f>
        <v>112060.21209420823</v>
      </c>
      <c r="AL15" s="72">
        <f>VLOOKUP(AA15,'FY 2018 TABLE 15'!$A$11:$M$146,7,FALSE)-AD15</f>
        <v>204</v>
      </c>
      <c r="AM15" s="72">
        <f>VLOOKUP(AA15,'FY 2018 TABLE 15'!$A$11:$M$146,10,FALSE)-AE15</f>
        <v>172254.13000000035</v>
      </c>
      <c r="AN15" s="72">
        <f>VLOOKUP(AA15,'FY 2018 TABLE 15'!$A$11:$M$146,11,FALSE)-AF15</f>
        <v>101</v>
      </c>
      <c r="AO15" s="72">
        <f>VLOOKUP(AA15,'FY 2018 TABLE 15'!$A$11:$M$146,4,FALSE)-AG15</f>
        <v>-839203.75000000186</v>
      </c>
      <c r="AP15" s="72">
        <f>VLOOKUP(AA15,'FY 2018 TABLE 15'!$A$11:$M$146,5,FALSE)-AH15</f>
        <v>-204</v>
      </c>
      <c r="AQ15" s="72">
        <f>VLOOKUP(AA15,'FY 2018 TABLE 15'!$A$11:$M$146,12,FALSE)-AI15</f>
        <v>-557166.58790579066</v>
      </c>
      <c r="AR15" s="73">
        <f>VLOOKUP(AA15,'FY 2018 TABLE 15'!$A$11:$M$146,13,FALSE)-AJ15</f>
        <v>133</v>
      </c>
    </row>
    <row r="16" spans="1:44" ht="15.75" x14ac:dyDescent="0.25">
      <c r="A16" s="141"/>
      <c r="B16" s="101" t="s">
        <v>611</v>
      </c>
      <c r="C16" s="109"/>
      <c r="D16" s="109"/>
      <c r="E16" s="110"/>
      <c r="F16" s="4" t="e">
        <f>VLOOKUP($A$5,'Source Data'!$AI$3:$AL$138,4,FALSE)</f>
        <v>#N/A</v>
      </c>
      <c r="G16" s="103"/>
      <c r="H16" s="139"/>
      <c r="I16" s="65"/>
      <c r="J16" s="22"/>
      <c r="K16" s="17"/>
      <c r="L16" s="17"/>
      <c r="M16" s="17"/>
      <c r="N16" s="17"/>
      <c r="O16" s="17"/>
      <c r="P16" s="17"/>
      <c r="Q16" s="17"/>
      <c r="R16" s="17"/>
      <c r="S16" s="17"/>
      <c r="T16" s="17"/>
      <c r="U16" s="17"/>
      <c r="V16" s="17"/>
      <c r="W16" s="17"/>
      <c r="X16" s="17"/>
      <c r="Y16" s="17"/>
      <c r="Z16" s="17"/>
      <c r="AA16" s="236">
        <v>15</v>
      </c>
      <c r="AB16" s="237" t="s">
        <v>162</v>
      </c>
      <c r="AC16" s="35">
        <v>10763176.642900072</v>
      </c>
      <c r="AD16" s="35">
        <v>5312</v>
      </c>
      <c r="AE16" s="35">
        <v>2861848.34</v>
      </c>
      <c r="AF16" s="35">
        <v>1412</v>
      </c>
      <c r="AG16" s="35">
        <v>6809195.4700000007</v>
      </c>
      <c r="AH16" s="35">
        <v>3361</v>
      </c>
      <c r="AI16" s="35">
        <v>22748098.872900072</v>
      </c>
      <c r="AJ16" s="35">
        <v>11227</v>
      </c>
      <c r="AK16" s="72">
        <f>VLOOKUP(AA16,'FY 2018 TABLE 15'!$A$11:$M$146,6,FALSE)-AC16</f>
        <v>728892.89315052889</v>
      </c>
      <c r="AL16" s="72">
        <f>VLOOKUP(AA16,'FY 2018 TABLE 15'!$A$11:$M$146,7,FALSE)-AD16</f>
        <v>254</v>
      </c>
      <c r="AM16" s="72">
        <f>VLOOKUP(AA16,'FY 2018 TABLE 15'!$A$11:$M$146,10,FALSE)-AE16</f>
        <v>69631.040000000503</v>
      </c>
      <c r="AN16" s="72">
        <f>VLOOKUP(AA16,'FY 2018 TABLE 15'!$A$11:$M$146,11,FALSE)-AF16</f>
        <v>8</v>
      </c>
      <c r="AO16" s="72">
        <f>VLOOKUP(AA16,'FY 2018 TABLE 15'!$A$11:$M$146,4,FALSE)-AG16</f>
        <v>-25193.020000014454</v>
      </c>
      <c r="AP16" s="72">
        <f>VLOOKUP(AA16,'FY 2018 TABLE 15'!$A$11:$M$146,5,FALSE)-AH16</f>
        <v>-75</v>
      </c>
      <c r="AQ16" s="72">
        <f>VLOOKUP(AA16,'FY 2018 TABLE 15'!$A$11:$M$146,12,FALSE)-AI16</f>
        <v>659132.21315051615</v>
      </c>
      <c r="AR16" s="73">
        <f>VLOOKUP(AA16,'FY 2018 TABLE 15'!$A$11:$M$146,13,FALSE)-AJ16</f>
        <v>109</v>
      </c>
    </row>
    <row r="17" spans="1:44" ht="6" customHeight="1" thickBot="1" x14ac:dyDescent="0.3">
      <c r="A17" s="142"/>
      <c r="B17" s="111"/>
      <c r="C17" s="111"/>
      <c r="D17" s="111"/>
      <c r="E17" s="117"/>
      <c r="F17" s="258"/>
      <c r="G17" s="101"/>
      <c r="H17" s="143"/>
      <c r="I17" s="65"/>
      <c r="J17" s="22"/>
      <c r="K17" s="17"/>
      <c r="L17" s="17"/>
      <c r="M17" s="17"/>
      <c r="N17" s="17"/>
      <c r="O17" s="17"/>
      <c r="P17" s="17"/>
      <c r="Q17" s="17"/>
      <c r="R17" s="17"/>
      <c r="S17" s="17"/>
      <c r="T17" s="17"/>
      <c r="U17" s="17"/>
      <c r="V17" s="17"/>
      <c r="W17" s="17"/>
      <c r="X17" s="17"/>
      <c r="Y17" s="17"/>
      <c r="Z17" s="17"/>
      <c r="AA17" s="236">
        <v>16</v>
      </c>
      <c r="AB17" s="237" t="s">
        <v>163</v>
      </c>
      <c r="AC17" s="35">
        <v>36511359.595941499</v>
      </c>
      <c r="AD17" s="35">
        <v>4588</v>
      </c>
      <c r="AE17" s="35">
        <v>5832127.4199999999</v>
      </c>
      <c r="AF17" s="35">
        <v>733</v>
      </c>
      <c r="AG17" s="35">
        <v>28140257.639999978</v>
      </c>
      <c r="AH17" s="35">
        <v>3536</v>
      </c>
      <c r="AI17" s="35">
        <v>79345499.75594148</v>
      </c>
      <c r="AJ17" s="35">
        <v>9971</v>
      </c>
      <c r="AK17" s="72">
        <f>VLOOKUP(AA17,'FY 2018 TABLE 15'!$A$11:$M$146,6,FALSE)-AC17</f>
        <v>1509277.3088891208</v>
      </c>
      <c r="AL17" s="72">
        <f>VLOOKUP(AA17,'FY 2018 TABLE 15'!$A$11:$M$146,7,FALSE)-AD17</f>
        <v>242</v>
      </c>
      <c r="AM17" s="72">
        <f>VLOOKUP(AA17,'FY 2018 TABLE 15'!$A$11:$M$146,10,FALSE)-AE17</f>
        <v>61596.659999999218</v>
      </c>
      <c r="AN17" s="72">
        <f>VLOOKUP(AA17,'FY 2018 TABLE 15'!$A$11:$M$146,11,FALSE)-AF17</f>
        <v>16</v>
      </c>
      <c r="AO17" s="72">
        <f>VLOOKUP(AA17,'FY 2018 TABLE 15'!$A$11:$M$146,4,FALSE)-AG17</f>
        <v>-250534.17999993265</v>
      </c>
      <c r="AP17" s="72">
        <f>VLOOKUP(AA17,'FY 2018 TABLE 15'!$A$11:$M$146,5,FALSE)-AH17</f>
        <v>7</v>
      </c>
      <c r="AQ17" s="72">
        <f>VLOOKUP(AA17,'FY 2018 TABLE 15'!$A$11:$M$146,12,FALSE)-AI17</f>
        <v>761102.56888918579</v>
      </c>
      <c r="AR17" s="73">
        <f>VLOOKUP(AA17,'FY 2018 TABLE 15'!$A$11:$M$146,13,FALSE)-AJ17</f>
        <v>205</v>
      </c>
    </row>
    <row r="18" spans="1:44" ht="16.5" thickBot="1" x14ac:dyDescent="0.3">
      <c r="A18" s="144" t="s">
        <v>614</v>
      </c>
      <c r="B18" s="112"/>
      <c r="C18" s="111"/>
      <c r="D18" s="111"/>
      <c r="E18" s="117"/>
      <c r="F18" s="101"/>
      <c r="G18" s="108"/>
      <c r="H18" s="145" t="e">
        <f>SUM(F8-F10)+F14+F16</f>
        <v>#N/A</v>
      </c>
      <c r="I18" s="65" t="e">
        <f>VLOOKUP($A$5, 'FY 2018 TABLE 15'!A11:M146, 12, FALSE)</f>
        <v>#N/A</v>
      </c>
      <c r="J18" s="22" t="e">
        <f>IF(H18=I18, "OK", "???")</f>
        <v>#N/A</v>
      </c>
      <c r="K18" s="17"/>
      <c r="L18" s="17"/>
      <c r="M18" s="17"/>
      <c r="N18" s="17"/>
      <c r="O18" s="17"/>
      <c r="P18" s="17"/>
      <c r="Q18" s="17"/>
      <c r="R18" s="17"/>
      <c r="S18" s="17"/>
      <c r="T18" s="17"/>
      <c r="U18" s="17"/>
      <c r="V18" s="17"/>
      <c r="W18" s="17"/>
      <c r="X18" s="17"/>
      <c r="Y18" s="17"/>
      <c r="Z18" s="17"/>
      <c r="AA18" s="236">
        <v>17</v>
      </c>
      <c r="AB18" s="237" t="s">
        <v>164</v>
      </c>
      <c r="AC18" s="35">
        <v>20200900.294493396</v>
      </c>
      <c r="AD18" s="35">
        <v>4875</v>
      </c>
      <c r="AE18" s="35">
        <v>2710551.9899999993</v>
      </c>
      <c r="AF18" s="35">
        <v>654</v>
      </c>
      <c r="AG18" s="35">
        <v>14901571.990000006</v>
      </c>
      <c r="AH18" s="35">
        <v>3596</v>
      </c>
      <c r="AI18" s="35">
        <v>42725096.154493399</v>
      </c>
      <c r="AJ18" s="35">
        <v>10311</v>
      </c>
      <c r="AK18" s="72">
        <f>VLOOKUP(AA18,'FY 2018 TABLE 15'!$A$11:$M$146,6,FALSE)-AC18</f>
        <v>235198.40175529569</v>
      </c>
      <c r="AL18" s="72">
        <f>VLOOKUP(AA18,'FY 2018 TABLE 15'!$A$11:$M$146,7,FALSE)-AD18</f>
        <v>-59</v>
      </c>
      <c r="AM18" s="72">
        <f>VLOOKUP(AA18,'FY 2018 TABLE 15'!$A$11:$M$146,10,FALSE)-AE18</f>
        <v>866215.47000000114</v>
      </c>
      <c r="AN18" s="72">
        <f>VLOOKUP(AA18,'FY 2018 TABLE 15'!$A$11:$M$146,11,FALSE)-AF18</f>
        <v>189</v>
      </c>
      <c r="AO18" s="72">
        <f>VLOOKUP(AA18,'FY 2018 TABLE 15'!$A$11:$M$146,4,FALSE)-AG18</f>
        <v>1111656.7399999835</v>
      </c>
      <c r="AP18" s="72">
        <f>VLOOKUP(AA18,'FY 2018 TABLE 15'!$A$11:$M$146,5,FALSE)-AH18</f>
        <v>178</v>
      </c>
      <c r="AQ18" s="72">
        <f>VLOOKUP(AA18,'FY 2018 TABLE 15'!$A$11:$M$146,12,FALSE)-AI18</f>
        <v>2068005.7117552832</v>
      </c>
      <c r="AR18" s="73">
        <f>VLOOKUP(AA18,'FY 2018 TABLE 15'!$A$11:$M$146,13,FALSE)-AJ18</f>
        <v>246</v>
      </c>
    </row>
    <row r="19" spans="1:44" ht="6" customHeight="1" x14ac:dyDescent="0.25">
      <c r="A19" s="146"/>
      <c r="B19" s="101"/>
      <c r="C19" s="101"/>
      <c r="D19" s="101"/>
      <c r="E19" s="101"/>
      <c r="F19" s="102"/>
      <c r="G19" s="101"/>
      <c r="H19" s="147"/>
      <c r="I19" s="65"/>
      <c r="J19" s="22"/>
      <c r="K19" s="17"/>
      <c r="L19" s="17"/>
      <c r="M19" s="17"/>
      <c r="N19" s="17"/>
      <c r="O19" s="17"/>
      <c r="P19" s="17"/>
      <c r="Q19" s="17"/>
      <c r="R19" s="17"/>
      <c r="S19" s="17"/>
      <c r="T19" s="17"/>
      <c r="U19" s="17"/>
      <c r="V19" s="17"/>
      <c r="W19" s="17"/>
      <c r="X19" s="17"/>
      <c r="Y19" s="17"/>
      <c r="Z19" s="17"/>
      <c r="AA19" s="236">
        <v>18</v>
      </c>
      <c r="AB19" s="237" t="s">
        <v>165</v>
      </c>
      <c r="AC19" s="35">
        <v>21232060.223969568</v>
      </c>
      <c r="AD19" s="35">
        <v>5567</v>
      </c>
      <c r="AE19" s="35">
        <v>4390794.76</v>
      </c>
      <c r="AF19" s="35">
        <v>1151</v>
      </c>
      <c r="AG19" s="35">
        <v>13152665.239999996</v>
      </c>
      <c r="AH19" s="35">
        <v>3449</v>
      </c>
      <c r="AI19" s="35">
        <v>43217092.763969563</v>
      </c>
      <c r="AJ19" s="35">
        <v>11332</v>
      </c>
      <c r="AK19" s="72">
        <f>VLOOKUP(AA19,'FY 2018 TABLE 15'!$A$11:$M$146,6,FALSE)-AC19</f>
        <v>-24414.269950702786</v>
      </c>
      <c r="AL19" s="72">
        <f>VLOOKUP(AA19,'FY 2018 TABLE 15'!$A$11:$M$146,7,FALSE)-AD19</f>
        <v>75</v>
      </c>
      <c r="AM19" s="72">
        <f>VLOOKUP(AA19,'FY 2018 TABLE 15'!$A$11:$M$146,10,FALSE)-AE19</f>
        <v>261276.22999999952</v>
      </c>
      <c r="AN19" s="72">
        <f>VLOOKUP(AA19,'FY 2018 TABLE 15'!$A$11:$M$146,11,FALSE)-AF19</f>
        <v>87</v>
      </c>
      <c r="AO19" s="72">
        <f>VLOOKUP(AA19,'FY 2018 TABLE 15'!$A$11:$M$146,4,FALSE)-AG19</f>
        <v>130564.87000001781</v>
      </c>
      <c r="AP19" s="72">
        <f>VLOOKUP(AA19,'FY 2018 TABLE 15'!$A$11:$M$146,5,FALSE)-AH19</f>
        <v>85</v>
      </c>
      <c r="AQ19" s="72">
        <f>VLOOKUP(AA19,'FY 2018 TABLE 15'!$A$11:$M$146,12,FALSE)-AI19</f>
        <v>392943.9700493142</v>
      </c>
      <c r="AR19" s="73">
        <f>VLOOKUP(AA19,'FY 2018 TABLE 15'!$A$11:$M$146,13,FALSE)-AJ19</f>
        <v>269</v>
      </c>
    </row>
    <row r="20" spans="1:44" ht="15" customHeight="1" x14ac:dyDescent="0.25">
      <c r="A20" s="334" t="s">
        <v>647</v>
      </c>
      <c r="B20" s="335"/>
      <c r="C20" s="335"/>
      <c r="D20" s="101"/>
      <c r="E20" s="113"/>
      <c r="F20" s="4" t="e">
        <f>SUM(VLOOKUP($A$5,'Source Data'!A2:P137,2,FALSE)-VLOOKUP($A$5,'Source Data'!A2:P137,6,FALSE))-F26-F28</f>
        <v>#N/A</v>
      </c>
      <c r="G20" s="103"/>
      <c r="H20" s="148"/>
      <c r="I20" s="65"/>
      <c r="J20" s="22"/>
      <c r="K20" s="17"/>
      <c r="L20" s="17"/>
      <c r="M20" s="17"/>
      <c r="N20" s="17"/>
      <c r="O20" s="17"/>
      <c r="P20" s="17"/>
      <c r="Q20" s="17"/>
      <c r="R20" s="17"/>
      <c r="S20" s="17"/>
      <c r="T20" s="17"/>
      <c r="U20" s="17"/>
      <c r="V20" s="17"/>
      <c r="W20" s="17"/>
      <c r="X20" s="17"/>
      <c r="Y20" s="17"/>
      <c r="Z20" s="17"/>
      <c r="AA20" s="236">
        <v>19</v>
      </c>
      <c r="AB20" s="237" t="s">
        <v>166</v>
      </c>
      <c r="AC20" s="35">
        <v>3140828.6658320739</v>
      </c>
      <c r="AD20" s="35">
        <v>4690</v>
      </c>
      <c r="AE20" s="35">
        <v>1137471.4300000002</v>
      </c>
      <c r="AF20" s="35">
        <v>1699</v>
      </c>
      <c r="AG20" s="35">
        <v>5312950.0299999993</v>
      </c>
      <c r="AH20" s="35">
        <v>7933</v>
      </c>
      <c r="AI20" s="35">
        <v>10508680.865832074</v>
      </c>
      <c r="AJ20" s="35">
        <v>15692</v>
      </c>
      <c r="AK20" s="72">
        <f>VLOOKUP(AA20,'FY 2018 TABLE 15'!$A$11:$M$146,6,FALSE)-AC20</f>
        <v>-203028.60535644088</v>
      </c>
      <c r="AL20" s="72">
        <f>VLOOKUP(AA20,'FY 2018 TABLE 15'!$A$11:$M$146,7,FALSE)-AD20</f>
        <v>-106</v>
      </c>
      <c r="AM20" s="72">
        <f>VLOOKUP(AA20,'FY 2018 TABLE 15'!$A$11:$M$146,10,FALSE)-AE20</f>
        <v>-295720.36</v>
      </c>
      <c r="AN20" s="72">
        <f>VLOOKUP(AA20,'FY 2018 TABLE 15'!$A$11:$M$146,11,FALSE)-AF20</f>
        <v>-386</v>
      </c>
      <c r="AO20" s="72">
        <f>VLOOKUP(AA20,'FY 2018 TABLE 15'!$A$11:$M$146,4,FALSE)-AG20</f>
        <v>216646.11000000127</v>
      </c>
      <c r="AP20" s="72">
        <f>VLOOKUP(AA20,'FY 2018 TABLE 15'!$A$11:$M$146,5,FALSE)-AH20</f>
        <v>695</v>
      </c>
      <c r="AQ20" s="72">
        <f>VLOOKUP(AA20,'FY 2018 TABLE 15'!$A$11:$M$146,12,FALSE)-AI20</f>
        <v>-317591.27535643987</v>
      </c>
      <c r="AR20" s="73">
        <f>VLOOKUP(AA20,'FY 2018 TABLE 15'!$A$11:$M$146,13,FALSE)-AJ20</f>
        <v>209</v>
      </c>
    </row>
    <row r="21" spans="1:44" ht="6.95" customHeight="1" x14ac:dyDescent="0.25">
      <c r="A21" s="146"/>
      <c r="B21" s="114"/>
      <c r="C21" s="114"/>
      <c r="D21" s="114"/>
      <c r="E21" s="114"/>
      <c r="F21" s="262"/>
      <c r="G21" s="103"/>
      <c r="H21" s="149"/>
      <c r="I21" s="65"/>
      <c r="J21" s="22"/>
      <c r="K21" s="17"/>
      <c r="L21" s="17"/>
      <c r="M21" s="17"/>
      <c r="N21" s="17"/>
      <c r="O21" s="17"/>
      <c r="P21" s="17"/>
      <c r="Q21" s="17"/>
      <c r="R21" s="17"/>
      <c r="S21" s="17"/>
      <c r="T21" s="17"/>
      <c r="U21" s="17"/>
      <c r="V21" s="17"/>
      <c r="W21" s="17"/>
      <c r="X21" s="17"/>
      <c r="Y21" s="17"/>
      <c r="Z21" s="17"/>
      <c r="AA21" s="236">
        <v>20</v>
      </c>
      <c r="AB21" s="237" t="s">
        <v>167</v>
      </c>
      <c r="AC21" s="35">
        <v>15410322.180782348</v>
      </c>
      <c r="AD21" s="35">
        <v>8071</v>
      </c>
      <c r="AE21" s="35">
        <v>2269396.4299999997</v>
      </c>
      <c r="AF21" s="35">
        <v>1189</v>
      </c>
      <c r="AG21" s="35">
        <v>3975363.910000002</v>
      </c>
      <c r="AH21" s="35">
        <v>2082</v>
      </c>
      <c r="AI21" s="35">
        <v>23718660.58078235</v>
      </c>
      <c r="AJ21" s="35">
        <v>12423</v>
      </c>
      <c r="AK21" s="72">
        <f>VLOOKUP(AA21,'FY 2018 TABLE 15'!$A$11:$M$146,6,FALSE)-AC21</f>
        <v>759823.88220998831</v>
      </c>
      <c r="AL21" s="72">
        <f>VLOOKUP(AA21,'FY 2018 TABLE 15'!$A$11:$M$146,7,FALSE)-AD21</f>
        <v>571</v>
      </c>
      <c r="AM21" s="72">
        <f>VLOOKUP(AA21,'FY 2018 TABLE 15'!$A$11:$M$146,10,FALSE)-AE21</f>
        <v>-208496.04999999981</v>
      </c>
      <c r="AN21" s="72">
        <f>VLOOKUP(AA21,'FY 2018 TABLE 15'!$A$11:$M$146,11,FALSE)-AF21</f>
        <v>-88</v>
      </c>
      <c r="AO21" s="72">
        <f>VLOOKUP(AA21,'FY 2018 TABLE 15'!$A$11:$M$146,4,FALSE)-AG21</f>
        <v>-339344.32999999262</v>
      </c>
      <c r="AP21" s="72">
        <f>VLOOKUP(AA21,'FY 2018 TABLE 15'!$A$11:$M$146,5,FALSE)-AH21</f>
        <v>-139</v>
      </c>
      <c r="AQ21" s="72">
        <f>VLOOKUP(AA21,'FY 2018 TABLE 15'!$A$11:$M$146,12,FALSE)-AI21</f>
        <v>208189.44220999256</v>
      </c>
      <c r="AR21" s="73">
        <f>VLOOKUP(AA21,'FY 2018 TABLE 15'!$A$11:$M$146,13,FALSE)-AJ21</f>
        <v>365</v>
      </c>
    </row>
    <row r="22" spans="1:44" ht="15.75" x14ac:dyDescent="0.25">
      <c r="A22" s="141" t="s">
        <v>2</v>
      </c>
      <c r="B22" s="101"/>
      <c r="C22" s="101"/>
      <c r="D22" s="101"/>
      <c r="E22" s="108"/>
      <c r="F22" s="4" t="e">
        <f>VLOOKUP($A$5,'Source Data'!A2:P137,3, FALSE)</f>
        <v>#N/A</v>
      </c>
      <c r="G22" s="103"/>
      <c r="H22" s="149"/>
      <c r="I22" s="65"/>
      <c r="J22" s="22"/>
      <c r="K22" s="17"/>
      <c r="L22" s="17"/>
      <c r="M22" s="17"/>
      <c r="N22" s="17"/>
      <c r="O22" s="17"/>
      <c r="P22" s="17"/>
      <c r="Q22" s="17"/>
      <c r="R22" s="17"/>
      <c r="S22" s="17"/>
      <c r="T22" s="17"/>
      <c r="U22" s="17"/>
      <c r="V22" s="17"/>
      <c r="W22" s="17"/>
      <c r="X22" s="17"/>
      <c r="Y22" s="17"/>
      <c r="Z22" s="17"/>
      <c r="AA22" s="236">
        <v>21</v>
      </c>
      <c r="AB22" s="237" t="s">
        <v>168</v>
      </c>
      <c r="AC22" s="35">
        <v>253483336.9060975</v>
      </c>
      <c r="AD22" s="35">
        <v>4210</v>
      </c>
      <c r="AE22" s="35">
        <v>36425574.75</v>
      </c>
      <c r="AF22" s="35">
        <v>605</v>
      </c>
      <c r="AG22" s="35">
        <v>243653190.9799999</v>
      </c>
      <c r="AH22" s="35">
        <v>4046</v>
      </c>
      <c r="AI22" s="35">
        <v>595613357.2960974</v>
      </c>
      <c r="AJ22" s="35">
        <v>9892</v>
      </c>
      <c r="AK22" s="72">
        <f>VLOOKUP(AA22,'FY 2018 TABLE 15'!$A$11:$M$146,6,FALSE)-AC22</f>
        <v>17845185.166042477</v>
      </c>
      <c r="AL22" s="72">
        <f>VLOOKUP(AA22,'FY 2018 TABLE 15'!$A$11:$M$146,7,FALSE)-AD22</f>
        <v>247</v>
      </c>
      <c r="AM22" s="72">
        <f>VLOOKUP(AA22,'FY 2018 TABLE 15'!$A$11:$M$146,10,FALSE)-AE22</f>
        <v>3757068.9799999818</v>
      </c>
      <c r="AN22" s="72">
        <f>VLOOKUP(AA22,'FY 2018 TABLE 15'!$A$11:$M$146,11,FALSE)-AF22</f>
        <v>55</v>
      </c>
      <c r="AO22" s="72">
        <f>VLOOKUP(AA22,'FY 2018 TABLE 15'!$A$11:$M$146,4,FALSE)-AG22</f>
        <v>3172286.4300006032</v>
      </c>
      <c r="AP22" s="72">
        <f>VLOOKUP(AA22,'FY 2018 TABLE 15'!$A$11:$M$146,5,FALSE)-AH22</f>
        <v>9</v>
      </c>
      <c r="AQ22" s="72">
        <f>VLOOKUP(AA22,'FY 2018 TABLE 15'!$A$11:$M$146,12,FALSE)-AI22</f>
        <v>26344763.416043043</v>
      </c>
      <c r="AR22" s="73">
        <f>VLOOKUP(AA22,'FY 2018 TABLE 15'!$A$11:$M$146,13,FALSE)-AJ22</f>
        <v>326</v>
      </c>
    </row>
    <row r="23" spans="1:44" ht="6.95" customHeight="1" x14ac:dyDescent="0.25">
      <c r="A23" s="150"/>
      <c r="B23" s="101"/>
      <c r="C23" s="101"/>
      <c r="D23" s="101"/>
      <c r="E23" s="101"/>
      <c r="F23" s="121"/>
      <c r="G23" s="101"/>
      <c r="H23" s="149"/>
      <c r="I23" s="65"/>
      <c r="J23" s="22"/>
      <c r="K23" s="17"/>
      <c r="L23" s="17"/>
      <c r="M23" s="17"/>
      <c r="N23" s="17"/>
      <c r="O23" s="17"/>
      <c r="P23" s="17"/>
      <c r="Q23" s="17"/>
      <c r="R23" s="17"/>
      <c r="S23" s="17"/>
      <c r="T23" s="17"/>
      <c r="U23" s="17"/>
      <c r="V23" s="17"/>
      <c r="W23" s="17"/>
      <c r="X23" s="17"/>
      <c r="Y23" s="17"/>
      <c r="Z23" s="17"/>
      <c r="AA23" s="236">
        <v>22</v>
      </c>
      <c r="AB23" s="237" t="s">
        <v>169</v>
      </c>
      <c r="AC23" s="35">
        <v>6430364.3487811442</v>
      </c>
      <c r="AD23" s="35">
        <v>3212</v>
      </c>
      <c r="AE23" s="35">
        <v>1146112.44</v>
      </c>
      <c r="AF23" s="35">
        <v>573</v>
      </c>
      <c r="AG23" s="35">
        <v>13377174.240000002</v>
      </c>
      <c r="AH23" s="35">
        <v>6682</v>
      </c>
      <c r="AI23" s="35">
        <v>23283260.128781144</v>
      </c>
      <c r="AJ23" s="35">
        <v>11631</v>
      </c>
      <c r="AK23" s="72">
        <f>VLOOKUP(AA23,'FY 2018 TABLE 15'!$A$11:$M$146,6,FALSE)-AC23</f>
        <v>353337.32350869011</v>
      </c>
      <c r="AL23" s="72">
        <f>VLOOKUP(AA23,'FY 2018 TABLE 15'!$A$11:$M$146,7,FALSE)-AD23</f>
        <v>219</v>
      </c>
      <c r="AM23" s="72">
        <f>VLOOKUP(AA23,'FY 2018 TABLE 15'!$A$11:$M$146,10,FALSE)-AE23</f>
        <v>-121126.56000000006</v>
      </c>
      <c r="AN23" s="72">
        <f>VLOOKUP(AA23,'FY 2018 TABLE 15'!$A$11:$M$146,11,FALSE)-AF23</f>
        <v>-55</v>
      </c>
      <c r="AO23" s="72">
        <f>VLOOKUP(AA23,'FY 2018 TABLE 15'!$A$11:$M$146,4,FALSE)-AG23</f>
        <v>380700.93999997899</v>
      </c>
      <c r="AP23" s="72">
        <f>VLOOKUP(AA23,'FY 2018 TABLE 15'!$A$11:$M$146,5,FALSE)-AH23</f>
        <v>277</v>
      </c>
      <c r="AQ23" s="72">
        <f>VLOOKUP(AA23,'FY 2018 TABLE 15'!$A$11:$M$146,12,FALSE)-AI23</f>
        <v>507330.60350866988</v>
      </c>
      <c r="AR23" s="73">
        <f>VLOOKUP(AA23,'FY 2018 TABLE 15'!$A$11:$M$146,13,FALSE)-AJ23</f>
        <v>403</v>
      </c>
    </row>
    <row r="24" spans="1:44" ht="16.5" customHeight="1" x14ac:dyDescent="0.25">
      <c r="A24" s="141" t="s">
        <v>609</v>
      </c>
      <c r="B24" s="101"/>
      <c r="C24" s="101"/>
      <c r="D24" s="101"/>
      <c r="E24" s="101"/>
      <c r="F24" s="114"/>
      <c r="G24" s="101"/>
      <c r="H24" s="149"/>
      <c r="I24" s="65"/>
      <c r="J24" s="22"/>
      <c r="K24" s="17"/>
      <c r="L24" s="17"/>
      <c r="M24" s="17"/>
      <c r="N24" s="17"/>
      <c r="O24" s="17"/>
      <c r="P24" s="17"/>
      <c r="Q24" s="17"/>
      <c r="R24" s="17"/>
      <c r="S24" s="17"/>
      <c r="T24" s="17"/>
      <c r="U24" s="17"/>
      <c r="V24" s="17"/>
      <c r="W24" s="17"/>
      <c r="X24" s="17"/>
      <c r="Y24" s="17"/>
      <c r="Z24" s="17"/>
      <c r="AA24" s="236">
        <v>23</v>
      </c>
      <c r="AB24" s="237" t="s">
        <v>170</v>
      </c>
      <c r="AC24" s="35">
        <v>3675067.2959252563</v>
      </c>
      <c r="AD24" s="35">
        <v>5985</v>
      </c>
      <c r="AE24" s="35">
        <v>697446.79999999981</v>
      </c>
      <c r="AF24" s="35">
        <v>1136</v>
      </c>
      <c r="AG24" s="35">
        <v>1845916.6600000011</v>
      </c>
      <c r="AH24" s="35">
        <v>3006</v>
      </c>
      <c r="AI24" s="35">
        <v>7028651.8159252573</v>
      </c>
      <c r="AJ24" s="35">
        <v>11446</v>
      </c>
      <c r="AK24" s="72">
        <f>VLOOKUP(AA24,'FY 2018 TABLE 15'!$A$11:$M$146,6,FALSE)-AC24</f>
        <v>-67440.760917154141</v>
      </c>
      <c r="AL24" s="72">
        <f>VLOOKUP(AA24,'FY 2018 TABLE 15'!$A$11:$M$146,7,FALSE)-AD24</f>
        <v>33</v>
      </c>
      <c r="AM24" s="72">
        <f>VLOOKUP(AA24,'FY 2018 TABLE 15'!$A$11:$M$146,10,FALSE)-AE24</f>
        <v>-55524.209999999963</v>
      </c>
      <c r="AN24" s="72">
        <f>VLOOKUP(AA24,'FY 2018 TABLE 15'!$A$11:$M$146,11,FALSE)-AF24</f>
        <v>-65</v>
      </c>
      <c r="AO24" s="72">
        <f>VLOOKUP(AA24,'FY 2018 TABLE 15'!$A$11:$M$146,4,FALSE)-AG24</f>
        <v>140777.37999999709</v>
      </c>
      <c r="AP24" s="72">
        <f>VLOOKUP(AA24,'FY 2018 TABLE 15'!$A$11:$M$146,5,FALSE)-AH24</f>
        <v>308</v>
      </c>
      <c r="AQ24" s="72">
        <f>VLOOKUP(AA24,'FY 2018 TABLE 15'!$A$11:$M$146,12,FALSE)-AI24</f>
        <v>-3303.030917157419</v>
      </c>
      <c r="AR24" s="73">
        <f>VLOOKUP(AA24,'FY 2018 TABLE 15'!$A$11:$M$146,13,FALSE)-AJ24</f>
        <v>272</v>
      </c>
    </row>
    <row r="25" spans="1:44" ht="6" customHeight="1" x14ac:dyDescent="0.25">
      <c r="A25" s="141"/>
      <c r="B25" s="101"/>
      <c r="C25" s="101"/>
      <c r="D25" s="101"/>
      <c r="E25" s="101"/>
      <c r="F25" s="122"/>
      <c r="G25" s="101"/>
      <c r="H25" s="149"/>
      <c r="I25" s="65"/>
      <c r="J25" s="22"/>
      <c r="K25" s="17"/>
      <c r="L25" s="17"/>
      <c r="M25" s="17"/>
      <c r="N25" s="17"/>
      <c r="O25" s="17"/>
      <c r="P25" s="17"/>
      <c r="Q25" s="17"/>
      <c r="R25" s="17"/>
      <c r="S25" s="17"/>
      <c r="T25" s="17"/>
      <c r="U25" s="17"/>
      <c r="V25" s="17"/>
      <c r="W25" s="17"/>
      <c r="X25" s="17"/>
      <c r="Y25" s="17"/>
      <c r="Z25" s="17"/>
      <c r="AA25" s="236">
        <v>24</v>
      </c>
      <c r="AB25" s="237" t="s">
        <v>171</v>
      </c>
      <c r="AC25" s="35">
        <v>35756332.516434059</v>
      </c>
      <c r="AD25" s="35">
        <v>4392</v>
      </c>
      <c r="AE25" s="35">
        <v>5710338.1400000006</v>
      </c>
      <c r="AF25" s="35">
        <v>701</v>
      </c>
      <c r="AG25" s="35">
        <v>31476857.789999999</v>
      </c>
      <c r="AH25" s="35">
        <v>3866</v>
      </c>
      <c r="AI25" s="35">
        <v>82003152.266434059</v>
      </c>
      <c r="AJ25" s="35">
        <v>10072</v>
      </c>
      <c r="AK25" s="72">
        <f>VLOOKUP(AA25,'FY 2018 TABLE 15'!$A$11:$M$146,6,FALSE)-AC25</f>
        <v>1725553.7435716018</v>
      </c>
      <c r="AL25" s="72">
        <f>VLOOKUP(AA25,'FY 2018 TABLE 15'!$A$11:$M$146,7,FALSE)-AD25</f>
        <v>210</v>
      </c>
      <c r="AM25" s="72">
        <f>VLOOKUP(AA25,'FY 2018 TABLE 15'!$A$11:$M$146,10,FALSE)-AE25</f>
        <v>169765.22999999952</v>
      </c>
      <c r="AN25" s="72">
        <f>VLOOKUP(AA25,'FY 2018 TABLE 15'!$A$11:$M$146,11,FALSE)-AF25</f>
        <v>21</v>
      </c>
      <c r="AO25" s="72">
        <f>VLOOKUP(AA25,'FY 2018 TABLE 15'!$A$11:$M$146,4,FALSE)-AG25</f>
        <v>1195423.8700000122</v>
      </c>
      <c r="AP25" s="72">
        <f>VLOOKUP(AA25,'FY 2018 TABLE 15'!$A$11:$M$146,5,FALSE)-AH25</f>
        <v>145</v>
      </c>
      <c r="AQ25" s="72">
        <f>VLOOKUP(AA25,'FY 2018 TABLE 15'!$A$11:$M$146,12,FALSE)-AI25</f>
        <v>3294695.163571611</v>
      </c>
      <c r="AR25" s="73">
        <f>VLOOKUP(AA25,'FY 2018 TABLE 15'!$A$11:$M$146,13,FALSE)-AJ25</f>
        <v>400</v>
      </c>
    </row>
    <row r="26" spans="1:44" ht="16.5" customHeight="1" x14ac:dyDescent="0.25">
      <c r="A26" s="141"/>
      <c r="B26" s="101" t="s">
        <v>610</v>
      </c>
      <c r="C26" s="101"/>
      <c r="D26" s="101"/>
      <c r="E26" s="108"/>
      <c r="F26" s="4" t="e">
        <f>VLOOKUP($A$5,'Source Data'!$AI$3:$AK$138,3,FALSE)</f>
        <v>#N/A</v>
      </c>
      <c r="G26" s="103"/>
      <c r="H26" s="149"/>
      <c r="I26" s="65"/>
      <c r="J26" s="22"/>
      <c r="K26" s="17"/>
      <c r="L26" s="17"/>
      <c r="M26" s="17"/>
      <c r="N26" s="17"/>
      <c r="O26" s="17"/>
      <c r="P26" s="17"/>
      <c r="Q26" s="17"/>
      <c r="R26" s="17"/>
      <c r="S26" s="17"/>
      <c r="T26" s="17"/>
      <c r="U26" s="17"/>
      <c r="V26" s="17"/>
      <c r="W26" s="17"/>
      <c r="X26" s="17"/>
      <c r="Y26" s="17"/>
      <c r="Z26" s="17"/>
      <c r="AA26" s="236">
        <v>25</v>
      </c>
      <c r="AB26" s="237" t="s">
        <v>172</v>
      </c>
      <c r="AC26" s="35">
        <v>8437451.2158493828</v>
      </c>
      <c r="AD26" s="35">
        <v>6256</v>
      </c>
      <c r="AE26" s="35">
        <v>1746157.08</v>
      </c>
      <c r="AF26" s="35">
        <v>1295</v>
      </c>
      <c r="AG26" s="35">
        <v>3419428.26</v>
      </c>
      <c r="AH26" s="35">
        <v>2535</v>
      </c>
      <c r="AI26" s="35">
        <v>15201633.975849383</v>
      </c>
      <c r="AJ26" s="35">
        <v>11272</v>
      </c>
      <c r="AK26" s="72">
        <f>VLOOKUP(AA26,'FY 2018 TABLE 15'!$A$11:$M$146,6,FALSE)-AC26</f>
        <v>-40850.262467825785</v>
      </c>
      <c r="AL26" s="72">
        <f>VLOOKUP(AA26,'FY 2018 TABLE 15'!$A$11:$M$146,7,FALSE)-AD26</f>
        <v>82</v>
      </c>
      <c r="AM26" s="72">
        <f>VLOOKUP(AA26,'FY 2018 TABLE 15'!$A$11:$M$146,10,FALSE)-AE26</f>
        <v>-78116.539999999804</v>
      </c>
      <c r="AN26" s="72">
        <f>VLOOKUP(AA26,'FY 2018 TABLE 15'!$A$11:$M$146,11,FALSE)-AF26</f>
        <v>-36</v>
      </c>
      <c r="AO26" s="72">
        <f>VLOOKUP(AA26,'FY 2018 TABLE 15'!$A$11:$M$146,4,FALSE)-AG26</f>
        <v>200679.88000000827</v>
      </c>
      <c r="AP26" s="72">
        <f>VLOOKUP(AA26,'FY 2018 TABLE 15'!$A$11:$M$146,5,FALSE)-AH26</f>
        <v>197</v>
      </c>
      <c r="AQ26" s="72">
        <f>VLOOKUP(AA26,'FY 2018 TABLE 15'!$A$11:$M$146,12,FALSE)-AI26</f>
        <v>52305.057532183826</v>
      </c>
      <c r="AR26" s="73">
        <f>VLOOKUP(AA26,'FY 2018 TABLE 15'!$A$11:$M$146,13,FALSE)-AJ26</f>
        <v>241</v>
      </c>
    </row>
    <row r="27" spans="1:44" ht="6.75" customHeight="1" x14ac:dyDescent="0.25">
      <c r="A27" s="141"/>
      <c r="B27" s="101"/>
      <c r="C27" s="101"/>
      <c r="D27" s="101"/>
      <c r="E27" s="101"/>
      <c r="F27" s="123"/>
      <c r="G27" s="103"/>
      <c r="H27" s="149"/>
      <c r="I27" s="65"/>
      <c r="J27" s="22"/>
      <c r="K27" s="17"/>
      <c r="L27" s="17"/>
      <c r="M27" s="17"/>
      <c r="N27" s="17"/>
      <c r="O27" s="17"/>
      <c r="P27" s="17"/>
      <c r="Q27" s="17"/>
      <c r="R27" s="17"/>
      <c r="S27" s="17"/>
      <c r="T27" s="17"/>
      <c r="U27" s="17"/>
      <c r="V27" s="17"/>
      <c r="W27" s="17"/>
      <c r="X27" s="17"/>
      <c r="Y27" s="17"/>
      <c r="Z27" s="17"/>
      <c r="AA27" s="236">
        <v>26</v>
      </c>
      <c r="AB27" s="237" t="s">
        <v>173</v>
      </c>
      <c r="AC27" s="35">
        <v>13097899.079954617</v>
      </c>
      <c r="AD27" s="35">
        <v>6059</v>
      </c>
      <c r="AE27" s="35">
        <v>2115623.85</v>
      </c>
      <c r="AF27" s="35">
        <v>979</v>
      </c>
      <c r="AG27" s="35">
        <v>5826275.5300000012</v>
      </c>
      <c r="AH27" s="35">
        <v>2695</v>
      </c>
      <c r="AI27" s="35">
        <v>23437483.699954618</v>
      </c>
      <c r="AJ27" s="35">
        <v>10841</v>
      </c>
      <c r="AK27" s="72">
        <f>VLOOKUP(AA27,'FY 2018 TABLE 15'!$A$11:$M$146,6,FALSE)-AC27</f>
        <v>-690101.29135020822</v>
      </c>
      <c r="AL27" s="72">
        <f>VLOOKUP(AA27,'FY 2018 TABLE 15'!$A$11:$M$146,7,FALSE)-AD27</f>
        <v>-181</v>
      </c>
      <c r="AM27" s="72">
        <f>VLOOKUP(AA27,'FY 2018 TABLE 15'!$A$11:$M$146,10,FALSE)-AE27</f>
        <v>476633.85999999987</v>
      </c>
      <c r="AN27" s="72">
        <f>VLOOKUP(AA27,'FY 2018 TABLE 15'!$A$11:$M$146,11,FALSE)-AF27</f>
        <v>249</v>
      </c>
      <c r="AO27" s="72">
        <f>VLOOKUP(AA27,'FY 2018 TABLE 15'!$A$11:$M$146,4,FALSE)-AG27</f>
        <v>787222.8200000003</v>
      </c>
      <c r="AP27" s="72">
        <f>VLOOKUP(AA27,'FY 2018 TABLE 15'!$A$11:$M$146,5,FALSE)-AH27</f>
        <v>438</v>
      </c>
      <c r="AQ27" s="72">
        <f>VLOOKUP(AA27,'FY 2018 TABLE 15'!$A$11:$M$146,12,FALSE)-AI27</f>
        <v>546726.54864979163</v>
      </c>
      <c r="AR27" s="73">
        <f>VLOOKUP(AA27,'FY 2018 TABLE 15'!$A$11:$M$146,13,FALSE)-AJ27</f>
        <v>521</v>
      </c>
    </row>
    <row r="28" spans="1:44" ht="16.5" customHeight="1" x14ac:dyDescent="0.25">
      <c r="A28" s="141"/>
      <c r="B28" s="101" t="s">
        <v>611</v>
      </c>
      <c r="C28" s="101"/>
      <c r="D28" s="101"/>
      <c r="E28" s="108"/>
      <c r="F28" s="4" t="e">
        <f>VLOOKUP($A$5,'Source Data'!$AI$3:$AL$138,4,FALSE)</f>
        <v>#N/A</v>
      </c>
      <c r="G28" s="103"/>
      <c r="H28" s="149"/>
      <c r="I28" s="65"/>
      <c r="J28" s="22"/>
      <c r="K28" s="17"/>
      <c r="L28" s="17"/>
      <c r="M28" s="17"/>
      <c r="N28" s="17"/>
      <c r="O28" s="17"/>
      <c r="P28" s="17"/>
      <c r="Q28" s="17"/>
      <c r="R28" s="17"/>
      <c r="S28" s="17"/>
      <c r="T28" s="17"/>
      <c r="U28" s="17"/>
      <c r="V28" s="17"/>
      <c r="W28" s="17"/>
      <c r="X28" s="17"/>
      <c r="Y28" s="17"/>
      <c r="Z28" s="17"/>
      <c r="AA28" s="236">
        <v>27</v>
      </c>
      <c r="AB28" s="237" t="s">
        <v>174</v>
      </c>
      <c r="AC28" s="35">
        <v>22978123.260541562</v>
      </c>
      <c r="AD28" s="35">
        <v>5306</v>
      </c>
      <c r="AE28" s="35">
        <v>3378804.6900000004</v>
      </c>
      <c r="AF28" s="35">
        <v>780</v>
      </c>
      <c r="AG28" s="35">
        <v>14811498.699999999</v>
      </c>
      <c r="AH28" s="35">
        <v>3420</v>
      </c>
      <c r="AI28" s="35">
        <v>45769912.130541563</v>
      </c>
      <c r="AJ28" s="35">
        <v>10569</v>
      </c>
      <c r="AK28" s="72">
        <f>VLOOKUP(AA28,'FY 2018 TABLE 15'!$A$11:$M$146,6,FALSE)-AC28</f>
        <v>784909.14802980796</v>
      </c>
      <c r="AL28" s="72">
        <f>VLOOKUP(AA28,'FY 2018 TABLE 15'!$A$11:$M$146,7,FALSE)-AD28</f>
        <v>199</v>
      </c>
      <c r="AM28" s="72">
        <f>VLOOKUP(AA28,'FY 2018 TABLE 15'!$A$11:$M$146,10,FALSE)-AE28</f>
        <v>-25073.060000000056</v>
      </c>
      <c r="AN28" s="72">
        <f>VLOOKUP(AA28,'FY 2018 TABLE 15'!$A$11:$M$146,11,FALSE)-AF28</f>
        <v>-3</v>
      </c>
      <c r="AO28" s="72">
        <f>VLOOKUP(AA28,'FY 2018 TABLE 15'!$A$11:$M$146,4,FALSE)-AG28</f>
        <v>492319.36000001803</v>
      </c>
      <c r="AP28" s="72">
        <f>VLOOKUP(AA28,'FY 2018 TABLE 15'!$A$11:$M$146,5,FALSE)-AH28</f>
        <v>125</v>
      </c>
      <c r="AQ28" s="72">
        <f>VLOOKUP(AA28,'FY 2018 TABLE 15'!$A$11:$M$146,12,FALSE)-AI28</f>
        <v>1003784.8480298221</v>
      </c>
      <c r="AR28" s="73">
        <f>VLOOKUP(AA28,'FY 2018 TABLE 15'!$A$11:$M$146,13,FALSE)-AJ28</f>
        <v>266</v>
      </c>
    </row>
    <row r="29" spans="1:44" ht="6.75" customHeight="1" x14ac:dyDescent="0.25">
      <c r="A29" s="150"/>
      <c r="B29" s="101"/>
      <c r="C29" s="101"/>
      <c r="D29" s="101"/>
      <c r="E29" s="101"/>
      <c r="F29" s="123"/>
      <c r="G29" s="103"/>
      <c r="H29" s="149"/>
      <c r="I29" s="65"/>
      <c r="J29" s="22"/>
      <c r="K29" s="17"/>
      <c r="L29" s="17"/>
      <c r="M29" s="17"/>
      <c r="N29" s="17"/>
      <c r="O29" s="17"/>
      <c r="P29" s="17"/>
      <c r="Q29" s="17"/>
      <c r="R29" s="17"/>
      <c r="S29" s="17"/>
      <c r="T29" s="17"/>
      <c r="U29" s="17"/>
      <c r="V29" s="17"/>
      <c r="W29" s="17"/>
      <c r="X29" s="17"/>
      <c r="Y29" s="17"/>
      <c r="Z29" s="17"/>
      <c r="AA29" s="236">
        <v>28</v>
      </c>
      <c r="AB29" s="237" t="s">
        <v>175</v>
      </c>
      <c r="AC29" s="35">
        <v>6458458.1178396335</v>
      </c>
      <c r="AD29" s="35">
        <v>4604</v>
      </c>
      <c r="AE29" s="35">
        <v>1572821.0099999995</v>
      </c>
      <c r="AF29" s="35">
        <v>1121</v>
      </c>
      <c r="AG29" s="35">
        <v>7766353.0999999996</v>
      </c>
      <c r="AH29" s="35">
        <v>5537</v>
      </c>
      <c r="AI29" s="35">
        <v>17475398.027839635</v>
      </c>
      <c r="AJ29" s="35">
        <v>12458</v>
      </c>
      <c r="AK29" s="72">
        <f>VLOOKUP(AA29,'FY 2018 TABLE 15'!$A$11:$M$146,6,FALSE)-AC29</f>
        <v>247540.35403941758</v>
      </c>
      <c r="AL29" s="72">
        <f>VLOOKUP(AA29,'FY 2018 TABLE 15'!$A$11:$M$146,7,FALSE)-AD29</f>
        <v>291</v>
      </c>
      <c r="AM29" s="72">
        <f>VLOOKUP(AA29,'FY 2018 TABLE 15'!$A$11:$M$146,10,FALSE)-AE29</f>
        <v>28526.58000000054</v>
      </c>
      <c r="AN29" s="72">
        <f>VLOOKUP(AA29,'FY 2018 TABLE 15'!$A$11:$M$146,11,FALSE)-AF29</f>
        <v>48</v>
      </c>
      <c r="AO29" s="72">
        <f>VLOOKUP(AA29,'FY 2018 TABLE 15'!$A$11:$M$146,4,FALSE)-AG29</f>
        <v>637684.8300000038</v>
      </c>
      <c r="AP29" s="72">
        <f>VLOOKUP(AA29,'FY 2018 TABLE 15'!$A$11:$M$146,5,FALSE)-AH29</f>
        <v>597</v>
      </c>
      <c r="AQ29" s="72">
        <f>VLOOKUP(AA29,'FY 2018 TABLE 15'!$A$11:$M$146,12,FALSE)-AI29</f>
        <v>827572.92403941974</v>
      </c>
      <c r="AR29" s="73">
        <f>VLOOKUP(AA29,'FY 2018 TABLE 15'!$A$11:$M$146,13,FALSE)-AJ29</f>
        <v>901</v>
      </c>
    </row>
    <row r="30" spans="1:44" ht="15.75" x14ac:dyDescent="0.25">
      <c r="A30" s="141" t="s">
        <v>607</v>
      </c>
      <c r="B30" s="101"/>
      <c r="C30" s="101"/>
      <c r="D30" s="101"/>
      <c r="E30" s="108"/>
      <c r="F30" s="4" t="e">
        <f>VLOOKUP($A$5,'Source Data'!A2:P137,4, FALSE)</f>
        <v>#N/A</v>
      </c>
      <c r="G30" s="103"/>
      <c r="H30" s="149"/>
      <c r="I30" s="65"/>
      <c r="J30" s="22"/>
      <c r="K30" s="17"/>
      <c r="L30" s="17"/>
      <c r="M30" s="17"/>
      <c r="N30" s="17"/>
      <c r="O30" s="17"/>
      <c r="P30" s="17"/>
      <c r="Q30" s="17"/>
      <c r="R30" s="17"/>
      <c r="S30" s="17"/>
      <c r="T30" s="17"/>
      <c r="U30" s="17"/>
      <c r="V30" s="17"/>
      <c r="W30" s="17"/>
      <c r="X30" s="17"/>
      <c r="Y30" s="17"/>
      <c r="Z30" s="17"/>
      <c r="AA30" s="236">
        <v>29</v>
      </c>
      <c r="AB30" s="237" t="s">
        <v>600</v>
      </c>
      <c r="AC30" s="35">
        <v>434981226.04247445</v>
      </c>
      <c r="AD30" s="35">
        <v>2321</v>
      </c>
      <c r="AE30" s="35">
        <v>121706702.31000002</v>
      </c>
      <c r="AF30" s="35">
        <v>649</v>
      </c>
      <c r="AG30" s="35">
        <v>2040017091.3600001</v>
      </c>
      <c r="AH30" s="35">
        <v>10883</v>
      </c>
      <c r="AI30" s="35">
        <v>2792362635.0424743</v>
      </c>
      <c r="AJ30" s="35">
        <v>14897</v>
      </c>
      <c r="AK30" s="72">
        <f>VLOOKUP(AA30,'FY 2018 TABLE 15'!$A$11:$M$146,6,FALSE)-AC30</f>
        <v>22496946.089208066</v>
      </c>
      <c r="AL30" s="72">
        <f>VLOOKUP(AA30,'FY 2018 TABLE 15'!$A$11:$M$146,7,FALSE)-AD30</f>
        <v>116</v>
      </c>
      <c r="AM30" s="72">
        <f>VLOOKUP(AA30,'FY 2018 TABLE 15'!$A$11:$M$146,10,FALSE)-AE30</f>
        <v>2464377.5299999863</v>
      </c>
      <c r="AN30" s="72">
        <f>VLOOKUP(AA30,'FY 2018 TABLE 15'!$A$11:$M$146,11,FALSE)-AF30</f>
        <v>13</v>
      </c>
      <c r="AO30" s="72">
        <f>VLOOKUP(AA30,'FY 2018 TABLE 15'!$A$11:$M$146,4,FALSE)-AG30</f>
        <v>58899517.090002537</v>
      </c>
      <c r="AP30" s="72">
        <f>VLOOKUP(AA30,'FY 2018 TABLE 15'!$A$11:$M$146,5,FALSE)-AH30</f>
        <v>300</v>
      </c>
      <c r="AQ30" s="72">
        <f>VLOOKUP(AA30,'FY 2018 TABLE 15'!$A$11:$M$146,12,FALSE)-AI30</f>
        <v>90083976.309210777</v>
      </c>
      <c r="AR30" s="73">
        <f>VLOOKUP(AA30,'FY 2018 TABLE 15'!$A$11:$M$146,13,FALSE)-AJ30</f>
        <v>460</v>
      </c>
    </row>
    <row r="31" spans="1:44" ht="4.5" customHeight="1" x14ac:dyDescent="0.25">
      <c r="A31" s="150"/>
      <c r="B31" s="101"/>
      <c r="C31" s="101"/>
      <c r="D31" s="101"/>
      <c r="E31" s="101"/>
      <c r="F31" s="121"/>
      <c r="G31" s="101"/>
      <c r="H31" s="149"/>
      <c r="I31" s="65"/>
      <c r="J31" s="22"/>
      <c r="K31" s="17"/>
      <c r="L31" s="17"/>
      <c r="M31" s="17"/>
      <c r="N31" s="17"/>
      <c r="O31" s="17"/>
      <c r="P31" s="17"/>
      <c r="Q31" s="17"/>
      <c r="R31" s="17"/>
      <c r="S31" s="17"/>
      <c r="T31" s="17"/>
      <c r="U31" s="17"/>
      <c r="V31" s="17"/>
      <c r="W31" s="17"/>
      <c r="X31" s="17"/>
      <c r="Y31" s="17"/>
      <c r="Z31" s="17"/>
      <c r="AA31" s="236">
        <v>30</v>
      </c>
      <c r="AB31" s="237" t="s">
        <v>176</v>
      </c>
      <c r="AC31" s="35">
        <v>32413433.149191506</v>
      </c>
      <c r="AD31" s="35">
        <v>2941</v>
      </c>
      <c r="AE31" s="35">
        <v>5411069.4299999997</v>
      </c>
      <c r="AF31" s="35">
        <v>491</v>
      </c>
      <c r="AG31" s="35">
        <v>88249815.410000026</v>
      </c>
      <c r="AH31" s="35">
        <v>8007</v>
      </c>
      <c r="AI31" s="35">
        <v>138512447.96919152</v>
      </c>
      <c r="AJ31" s="35">
        <v>12567</v>
      </c>
      <c r="AK31" s="72">
        <f>VLOOKUP(AA31,'FY 2018 TABLE 15'!$A$11:$M$146,6,FALSE)-AC31</f>
        <v>2398747.6906342581</v>
      </c>
      <c r="AL31" s="72">
        <f>VLOOKUP(AA31,'FY 2018 TABLE 15'!$A$11:$M$146,7,FALSE)-AD31</f>
        <v>203</v>
      </c>
      <c r="AM31" s="72">
        <f>VLOOKUP(AA31,'FY 2018 TABLE 15'!$A$11:$M$146,10,FALSE)-AE31</f>
        <v>843313.68000000063</v>
      </c>
      <c r="AN31" s="72">
        <f>VLOOKUP(AA31,'FY 2018 TABLE 15'!$A$11:$M$146,11,FALSE)-AF31</f>
        <v>74</v>
      </c>
      <c r="AO31" s="72">
        <f>VLOOKUP(AA31,'FY 2018 TABLE 15'!$A$11:$M$146,4,FALSE)-AG31</f>
        <v>1551938.3899998069</v>
      </c>
      <c r="AP31" s="72">
        <f>VLOOKUP(AA31,'FY 2018 TABLE 15'!$A$11:$M$146,5,FALSE)-AH31</f>
        <v>104</v>
      </c>
      <c r="AQ31" s="72">
        <f>VLOOKUP(AA31,'FY 2018 TABLE 15'!$A$11:$M$146,12,FALSE)-AI31</f>
        <v>4211108.4406340718</v>
      </c>
      <c r="AR31" s="73">
        <f>VLOOKUP(AA31,'FY 2018 TABLE 15'!$A$11:$M$146,13,FALSE)-AJ31</f>
        <v>324</v>
      </c>
    </row>
    <row r="32" spans="1:44" ht="16.5" customHeight="1" x14ac:dyDescent="0.25">
      <c r="A32" s="151" t="s">
        <v>608</v>
      </c>
      <c r="B32" s="101"/>
      <c r="C32" s="101"/>
      <c r="D32" s="101"/>
      <c r="E32" s="101"/>
      <c r="F32" s="122"/>
      <c r="G32" s="101"/>
      <c r="H32" s="149"/>
      <c r="I32" s="65"/>
      <c r="J32" s="22"/>
      <c r="K32" s="17"/>
      <c r="L32" s="17"/>
      <c r="M32" s="17"/>
      <c r="N32" s="17"/>
      <c r="O32" s="17"/>
      <c r="P32" s="17"/>
      <c r="Q32" s="17"/>
      <c r="R32" s="17"/>
      <c r="S32" s="17"/>
      <c r="T32" s="17"/>
      <c r="U32" s="17"/>
      <c r="V32" s="17"/>
      <c r="W32" s="17"/>
      <c r="X32" s="17"/>
      <c r="Y32" s="17"/>
      <c r="Z32" s="17"/>
      <c r="AA32" s="236">
        <v>31</v>
      </c>
      <c r="AB32" s="237" t="s">
        <v>177</v>
      </c>
      <c r="AC32" s="35">
        <v>9518506.5</v>
      </c>
      <c r="AD32" s="35">
        <v>4634</v>
      </c>
      <c r="AE32" s="35">
        <v>1775173.4000000004</v>
      </c>
      <c r="AF32" s="35">
        <v>864</v>
      </c>
      <c r="AG32" s="35">
        <v>7355488.7299999986</v>
      </c>
      <c r="AH32" s="35">
        <v>3581</v>
      </c>
      <c r="AI32" s="35">
        <v>21074985.309999999</v>
      </c>
      <c r="AJ32" s="35">
        <v>10260</v>
      </c>
      <c r="AK32" s="72">
        <f>VLOOKUP(AA32,'FY 2018 TABLE 15'!$A$11:$M$146,6,FALSE)-AC32</f>
        <v>436902.87830719911</v>
      </c>
      <c r="AL32" s="72">
        <f>VLOOKUP(AA32,'FY 2018 TABLE 15'!$A$11:$M$146,7,FALSE)-AD32</f>
        <v>281</v>
      </c>
      <c r="AM32" s="72">
        <f>VLOOKUP(AA32,'FY 2018 TABLE 15'!$A$11:$M$146,10,FALSE)-AE32</f>
        <v>-10769.520000000251</v>
      </c>
      <c r="AN32" s="72">
        <f>VLOOKUP(AA32,'FY 2018 TABLE 15'!$A$11:$M$146,11,FALSE)-AF32</f>
        <v>7</v>
      </c>
      <c r="AO32" s="72">
        <f>VLOOKUP(AA32,'FY 2018 TABLE 15'!$A$11:$M$146,4,FALSE)-AG32</f>
        <v>1009274.5700000077</v>
      </c>
      <c r="AP32" s="72">
        <f>VLOOKUP(AA32,'FY 2018 TABLE 15'!$A$11:$M$146,5,FALSE)-AH32</f>
        <v>548</v>
      </c>
      <c r="AQ32" s="72">
        <f>VLOOKUP(AA32,'FY 2018 TABLE 15'!$A$11:$M$146,12,FALSE)-AI32</f>
        <v>1300822.8283072077</v>
      </c>
      <c r="AR32" s="73">
        <f>VLOOKUP(AA32,'FY 2018 TABLE 15'!$A$11:$M$146,13,FALSE)-AJ32</f>
        <v>786</v>
      </c>
    </row>
    <row r="33" spans="1:44" ht="16.5" customHeight="1" x14ac:dyDescent="0.25">
      <c r="A33" s="151" t="s">
        <v>598</v>
      </c>
      <c r="B33" s="263"/>
      <c r="C33" s="263"/>
      <c r="D33" s="263"/>
      <c r="E33" s="115"/>
      <c r="F33" s="4" t="e">
        <f>VLOOKUP($A$5,'Source Data'!A2:P137,5, FALSE)</f>
        <v>#N/A</v>
      </c>
      <c r="G33" s="103"/>
      <c r="H33" s="149"/>
      <c r="I33" s="65"/>
      <c r="J33" s="22"/>
      <c r="K33" s="17"/>
      <c r="L33" s="17"/>
      <c r="M33" s="17"/>
      <c r="N33" s="17"/>
      <c r="O33" s="17"/>
      <c r="P33" s="17"/>
      <c r="Q33" s="17"/>
      <c r="R33" s="17"/>
      <c r="S33" s="17"/>
      <c r="T33" s="17"/>
      <c r="U33" s="17"/>
      <c r="V33" s="17"/>
      <c r="W33" s="17"/>
      <c r="X33" s="17"/>
      <c r="Y33" s="17"/>
      <c r="Z33" s="17"/>
      <c r="AA33" s="236">
        <v>32</v>
      </c>
      <c r="AB33" s="237" t="s">
        <v>178</v>
      </c>
      <c r="AC33" s="35">
        <v>15797122.894057786</v>
      </c>
      <c r="AD33" s="35">
        <v>4441</v>
      </c>
      <c r="AE33" s="35">
        <v>1904162.99</v>
      </c>
      <c r="AF33" s="35">
        <v>535</v>
      </c>
      <c r="AG33" s="35">
        <v>15631264.51</v>
      </c>
      <c r="AH33" s="35">
        <v>4395</v>
      </c>
      <c r="AI33" s="35">
        <v>37552319.994057789</v>
      </c>
      <c r="AJ33" s="35">
        <v>10558</v>
      </c>
      <c r="AK33" s="72">
        <f>VLOOKUP(AA33,'FY 2018 TABLE 15'!$A$11:$M$146,6,FALSE)-AC33</f>
        <v>-324935.14596264251</v>
      </c>
      <c r="AL33" s="72">
        <f>VLOOKUP(AA33,'FY 2018 TABLE 15'!$A$11:$M$146,7,FALSE)-AD33</f>
        <v>-94</v>
      </c>
      <c r="AM33" s="72">
        <f>VLOOKUP(AA33,'FY 2018 TABLE 15'!$A$11:$M$146,10,FALSE)-AE33</f>
        <v>94604.810000000056</v>
      </c>
      <c r="AN33" s="72">
        <f>VLOOKUP(AA33,'FY 2018 TABLE 15'!$A$11:$M$146,11,FALSE)-AF33</f>
        <v>27</v>
      </c>
      <c r="AO33" s="72">
        <f>VLOOKUP(AA33,'FY 2018 TABLE 15'!$A$11:$M$146,4,FALSE)-AG33</f>
        <v>1745015.3399999943</v>
      </c>
      <c r="AP33" s="72">
        <f>VLOOKUP(AA33,'FY 2018 TABLE 15'!$A$11:$M$146,5,FALSE)-AH33</f>
        <v>487</v>
      </c>
      <c r="AQ33" s="72">
        <f>VLOOKUP(AA33,'FY 2018 TABLE 15'!$A$11:$M$146,12,FALSE)-AI33</f>
        <v>1330930.944037348</v>
      </c>
      <c r="AR33" s="73">
        <f>VLOOKUP(AA33,'FY 2018 TABLE 15'!$A$11:$M$146,13,FALSE)-AJ33</f>
        <v>367</v>
      </c>
    </row>
    <row r="34" spans="1:44" ht="6.95" customHeight="1" x14ac:dyDescent="0.25">
      <c r="A34" s="146"/>
      <c r="B34" s="101"/>
      <c r="C34" s="101"/>
      <c r="D34" s="101"/>
      <c r="E34" s="101"/>
      <c r="F34" s="123"/>
      <c r="G34" s="103"/>
      <c r="H34" s="149"/>
      <c r="I34" s="65"/>
      <c r="J34" s="68"/>
      <c r="K34" s="17"/>
      <c r="L34" s="17"/>
      <c r="M34" s="17"/>
      <c r="N34" s="17"/>
      <c r="O34" s="17"/>
      <c r="P34" s="17"/>
      <c r="Q34" s="17"/>
      <c r="R34" s="17"/>
      <c r="S34" s="17"/>
      <c r="T34" s="17"/>
      <c r="U34" s="17"/>
      <c r="V34" s="17"/>
      <c r="W34" s="17"/>
      <c r="X34" s="17"/>
      <c r="Y34" s="17"/>
      <c r="Z34" s="17"/>
      <c r="AA34" s="236">
        <v>33</v>
      </c>
      <c r="AB34" s="237" t="s">
        <v>179</v>
      </c>
      <c r="AC34" s="35">
        <v>32417948.533015843</v>
      </c>
      <c r="AD34" s="35">
        <v>4450</v>
      </c>
      <c r="AE34" s="35">
        <v>7021754.7599999998</v>
      </c>
      <c r="AF34" s="35">
        <v>964</v>
      </c>
      <c r="AG34" s="35">
        <v>34086578.50999999</v>
      </c>
      <c r="AH34" s="35">
        <v>4679</v>
      </c>
      <c r="AI34" s="35">
        <v>82025946.703015834</v>
      </c>
      <c r="AJ34" s="35">
        <v>11260</v>
      </c>
      <c r="AK34" s="72">
        <f>VLOOKUP(AA34,'FY 2018 TABLE 15'!$A$11:$M$146,6,FALSE)-AC34</f>
        <v>1330044.2541337349</v>
      </c>
      <c r="AL34" s="72">
        <f>VLOOKUP(AA34,'FY 2018 TABLE 15'!$A$11:$M$146,7,FALSE)-AD34</f>
        <v>248</v>
      </c>
      <c r="AM34" s="72">
        <f>VLOOKUP(AA34,'FY 2018 TABLE 15'!$A$11:$M$146,10,FALSE)-AE34</f>
        <v>681012.23999999929</v>
      </c>
      <c r="AN34" s="72">
        <f>VLOOKUP(AA34,'FY 2018 TABLE 15'!$A$11:$M$146,11,FALSE)-AF34</f>
        <v>108</v>
      </c>
      <c r="AO34" s="72">
        <f>VLOOKUP(AA34,'FY 2018 TABLE 15'!$A$11:$M$146,4,FALSE)-AG34</f>
        <v>-406772.70000001043</v>
      </c>
      <c r="AP34" s="72">
        <f>VLOOKUP(AA34,'FY 2018 TABLE 15'!$A$11:$M$146,5,FALSE)-AH34</f>
        <v>10</v>
      </c>
      <c r="AQ34" s="72">
        <f>VLOOKUP(AA34,'FY 2018 TABLE 15'!$A$11:$M$146,12,FALSE)-AI34</f>
        <v>1703918.574133724</v>
      </c>
      <c r="AR34" s="73">
        <f>VLOOKUP(AA34,'FY 2018 TABLE 15'!$A$11:$M$146,13,FALSE)-AJ34</f>
        <v>396</v>
      </c>
    </row>
    <row r="35" spans="1:44" ht="15.75" x14ac:dyDescent="0.25">
      <c r="A35" s="144" t="s">
        <v>612</v>
      </c>
      <c r="B35" s="101"/>
      <c r="C35" s="101"/>
      <c r="D35" s="101"/>
      <c r="E35" s="108"/>
      <c r="F35" s="4" t="e">
        <f>F20+F22+F26+F28-F30-F33</f>
        <v>#N/A</v>
      </c>
      <c r="G35" s="103"/>
      <c r="H35" s="149"/>
      <c r="I35" s="65"/>
      <c r="J35" s="22"/>
      <c r="K35" s="17"/>
      <c r="L35" s="17"/>
      <c r="M35" s="17"/>
      <c r="N35" s="17"/>
      <c r="O35" s="17"/>
      <c r="P35" s="17"/>
      <c r="Q35" s="17"/>
      <c r="R35" s="17"/>
      <c r="S35" s="17"/>
      <c r="T35" s="17"/>
      <c r="U35" s="17"/>
      <c r="V35" s="17"/>
      <c r="W35" s="17"/>
      <c r="X35" s="17"/>
      <c r="Y35" s="17"/>
      <c r="Z35" s="17"/>
      <c r="AA35" s="236">
        <v>34</v>
      </c>
      <c r="AB35" s="237" t="s">
        <v>180</v>
      </c>
      <c r="AC35" s="35">
        <v>57317156.641938403</v>
      </c>
      <c r="AD35" s="35">
        <v>4310</v>
      </c>
      <c r="AE35" s="35">
        <v>7443766.6200000001</v>
      </c>
      <c r="AF35" s="35">
        <v>560</v>
      </c>
      <c r="AG35" s="35">
        <v>77904212.49999997</v>
      </c>
      <c r="AH35" s="35">
        <v>5858</v>
      </c>
      <c r="AI35" s="35">
        <v>157226122.56193838</v>
      </c>
      <c r="AJ35" s="35">
        <v>11823</v>
      </c>
      <c r="AK35" s="72">
        <f>VLOOKUP(AA35,'FY 2018 TABLE 15'!$A$11:$M$146,6,FALSE)-AC35</f>
        <v>3561372.73306261</v>
      </c>
      <c r="AL35" s="72">
        <f>VLOOKUP(AA35,'FY 2018 TABLE 15'!$A$11:$M$146,7,FALSE)-AD35</f>
        <v>207</v>
      </c>
      <c r="AM35" s="72">
        <f>VLOOKUP(AA35,'FY 2018 TABLE 15'!$A$11:$M$146,10,FALSE)-AE35</f>
        <v>788167.54999999981</v>
      </c>
      <c r="AN35" s="72">
        <f>VLOOKUP(AA35,'FY 2018 TABLE 15'!$A$11:$M$146,11,FALSE)-AF35</f>
        <v>51</v>
      </c>
      <c r="AO35" s="72">
        <f>VLOOKUP(AA35,'FY 2018 TABLE 15'!$A$11:$M$146,4,FALSE)-AG35</f>
        <v>6363591.0399999321</v>
      </c>
      <c r="AP35" s="72">
        <f>VLOOKUP(AA35,'FY 2018 TABLE 15'!$A$11:$M$146,5,FALSE)-AH35</f>
        <v>395</v>
      </c>
      <c r="AQ35" s="72">
        <f>VLOOKUP(AA35,'FY 2018 TABLE 15'!$A$11:$M$146,12,FALSE)-AI35</f>
        <v>10036647.723062545</v>
      </c>
      <c r="AR35" s="73">
        <f>VLOOKUP(AA35,'FY 2018 TABLE 15'!$A$11:$M$146,13,FALSE)-AJ35</f>
        <v>588</v>
      </c>
    </row>
    <row r="36" spans="1:44" ht="6.95" customHeight="1" thickBot="1" x14ac:dyDescent="0.3">
      <c r="A36" s="146"/>
      <c r="B36" s="101"/>
      <c r="C36" s="101"/>
      <c r="D36" s="101"/>
      <c r="E36" s="114"/>
      <c r="F36" s="107"/>
      <c r="G36" s="101"/>
      <c r="H36" s="143"/>
      <c r="I36" s="65"/>
      <c r="J36" s="22"/>
      <c r="K36" s="17"/>
      <c r="L36" s="17"/>
      <c r="M36" s="17"/>
      <c r="N36" s="17"/>
      <c r="O36" s="17"/>
      <c r="P36" s="17"/>
      <c r="Q36" s="17"/>
      <c r="R36" s="17"/>
      <c r="S36" s="17"/>
      <c r="T36" s="17"/>
      <c r="U36" s="17"/>
      <c r="V36" s="17"/>
      <c r="W36" s="17"/>
      <c r="X36" s="17"/>
      <c r="Y36" s="17"/>
      <c r="Z36" s="17"/>
      <c r="AA36" s="236">
        <v>35</v>
      </c>
      <c r="AB36" s="237" t="s">
        <v>181</v>
      </c>
      <c r="AC36" s="35">
        <v>12138052.161567265</v>
      </c>
      <c r="AD36" s="35">
        <v>4930</v>
      </c>
      <c r="AE36" s="35">
        <v>2603625.7799999998</v>
      </c>
      <c r="AF36" s="35">
        <v>1057</v>
      </c>
      <c r="AG36" s="35">
        <v>7840386.5399999972</v>
      </c>
      <c r="AH36" s="35">
        <v>3184</v>
      </c>
      <c r="AI36" s="35">
        <v>25308861.221567262</v>
      </c>
      <c r="AJ36" s="35">
        <v>10279</v>
      </c>
      <c r="AK36" s="72">
        <f>VLOOKUP(AA36,'FY 2018 TABLE 15'!$A$11:$M$146,6,FALSE)-AC36</f>
        <v>1005886.2146438379</v>
      </c>
      <c r="AL36" s="72">
        <f>VLOOKUP(AA36,'FY 2018 TABLE 15'!$A$11:$M$146,7,FALSE)-AD36</f>
        <v>382</v>
      </c>
      <c r="AM36" s="72">
        <f>VLOOKUP(AA36,'FY 2018 TABLE 15'!$A$11:$M$146,10,FALSE)-AE36</f>
        <v>-377338.7200000002</v>
      </c>
      <c r="AN36" s="72">
        <f>VLOOKUP(AA36,'FY 2018 TABLE 15'!$A$11:$M$146,11,FALSE)-AF36</f>
        <v>-157</v>
      </c>
      <c r="AO36" s="72">
        <f>VLOOKUP(AA36,'FY 2018 TABLE 15'!$A$11:$M$146,4,FALSE)-AG36</f>
        <v>272301.17999998666</v>
      </c>
      <c r="AP36" s="72">
        <f>VLOOKUP(AA36,'FY 2018 TABLE 15'!$A$11:$M$146,5,FALSE)-AH36</f>
        <v>94</v>
      </c>
      <c r="AQ36" s="72">
        <f>VLOOKUP(AA36,'FY 2018 TABLE 15'!$A$11:$M$146,12,FALSE)-AI36</f>
        <v>946669.07464382425</v>
      </c>
      <c r="AR36" s="73">
        <f>VLOOKUP(AA36,'FY 2018 TABLE 15'!$A$11:$M$146,13,FALSE)-AJ36</f>
        <v>331</v>
      </c>
    </row>
    <row r="37" spans="1:44" ht="16.5" thickBot="1" x14ac:dyDescent="0.3">
      <c r="A37" s="152" t="s">
        <v>613</v>
      </c>
      <c r="B37" s="112"/>
      <c r="C37" s="101"/>
      <c r="D37" s="101"/>
      <c r="E37" s="114"/>
      <c r="F37" s="101"/>
      <c r="G37" s="108"/>
      <c r="H37" s="145" t="e">
        <f>ROUND(F35/$F$63,0)</f>
        <v>#N/A</v>
      </c>
      <c r="I37" s="65" t="e">
        <f>VLOOKUP($A$5, 'FY 2018 TABLE 15'!A11:M146, 7, FALSE)</f>
        <v>#N/A</v>
      </c>
      <c r="J37" s="22" t="e">
        <f>IF(H37=I37, "OK", "???")</f>
        <v>#N/A</v>
      </c>
      <c r="K37" s="17"/>
      <c r="L37" s="17"/>
      <c r="M37" s="17"/>
      <c r="N37" s="17"/>
      <c r="O37" s="17"/>
      <c r="P37" s="17"/>
      <c r="Q37" s="17"/>
      <c r="R37" s="17"/>
      <c r="S37" s="17"/>
      <c r="T37" s="17"/>
      <c r="U37" s="17"/>
      <c r="V37" s="17"/>
      <c r="W37" s="17"/>
      <c r="X37" s="17"/>
      <c r="Y37" s="17"/>
      <c r="Z37" s="17"/>
      <c r="AA37" s="236">
        <v>36</v>
      </c>
      <c r="AB37" s="237" t="s">
        <v>182</v>
      </c>
      <c r="AC37" s="35">
        <v>23994745.332703777</v>
      </c>
      <c r="AD37" s="35">
        <v>4371</v>
      </c>
      <c r="AE37" s="35">
        <v>3441759.7199999997</v>
      </c>
      <c r="AF37" s="35">
        <v>627</v>
      </c>
      <c r="AG37" s="35">
        <v>25370925.020000003</v>
      </c>
      <c r="AH37" s="35">
        <v>4622</v>
      </c>
      <c r="AI37" s="35">
        <v>58650885.182703778</v>
      </c>
      <c r="AJ37" s="35">
        <v>10684</v>
      </c>
      <c r="AK37" s="72">
        <f>VLOOKUP(AA37,'FY 2018 TABLE 15'!$A$11:$M$146,6,FALSE)-AC37</f>
        <v>600291.91417390108</v>
      </c>
      <c r="AL37" s="72">
        <f>VLOOKUP(AA37,'FY 2018 TABLE 15'!$A$11:$M$146,7,FALSE)-AD37</f>
        <v>171</v>
      </c>
      <c r="AM37" s="72">
        <f>VLOOKUP(AA37,'FY 2018 TABLE 15'!$A$11:$M$146,10,FALSE)-AE37</f>
        <v>99893.920000000391</v>
      </c>
      <c r="AN37" s="72">
        <f>VLOOKUP(AA37,'FY 2018 TABLE 15'!$A$11:$M$146,11,FALSE)-AF37</f>
        <v>27</v>
      </c>
      <c r="AO37" s="72">
        <f>VLOOKUP(AA37,'FY 2018 TABLE 15'!$A$11:$M$146,4,FALSE)-AG37</f>
        <v>370555.41999989748</v>
      </c>
      <c r="AP37" s="72">
        <f>VLOOKUP(AA37,'FY 2018 TABLE 15'!$A$11:$M$146,5,FALSE)-AH37</f>
        <v>132</v>
      </c>
      <c r="AQ37" s="72">
        <f>VLOOKUP(AA37,'FY 2018 TABLE 15'!$A$11:$M$146,12,FALSE)-AI37</f>
        <v>772279.84417379647</v>
      </c>
      <c r="AR37" s="73">
        <f>VLOOKUP(AA37,'FY 2018 TABLE 15'!$A$11:$M$146,13,FALSE)-AJ37</f>
        <v>291</v>
      </c>
    </row>
    <row r="38" spans="1:44" ht="21.95" customHeight="1" x14ac:dyDescent="0.25">
      <c r="A38" s="146"/>
      <c r="B38" s="101"/>
      <c r="C38" s="101"/>
      <c r="D38" s="101"/>
      <c r="E38" s="114"/>
      <c r="F38" s="102"/>
      <c r="G38" s="101"/>
      <c r="H38" s="153"/>
      <c r="I38" s="65"/>
      <c r="J38" s="22"/>
      <c r="K38" s="17"/>
      <c r="L38" s="17"/>
      <c r="M38" s="17"/>
      <c r="N38" s="17"/>
      <c r="O38" s="17"/>
      <c r="P38" s="17"/>
      <c r="Q38" s="17"/>
      <c r="R38" s="17"/>
      <c r="S38" s="17"/>
      <c r="T38" s="17"/>
      <c r="U38" s="17"/>
      <c r="V38" s="17"/>
      <c r="W38" s="17"/>
      <c r="X38" s="17"/>
      <c r="Y38" s="17"/>
      <c r="Z38" s="17"/>
      <c r="AA38" s="236">
        <v>37</v>
      </c>
      <c r="AB38" s="237" t="s">
        <v>183</v>
      </c>
      <c r="AC38" s="35">
        <v>3622436.9168297928</v>
      </c>
      <c r="AD38" s="35">
        <v>1405</v>
      </c>
      <c r="AE38" s="35">
        <v>1395710.3800000001</v>
      </c>
      <c r="AF38" s="35">
        <v>541</v>
      </c>
      <c r="AG38" s="35">
        <v>21695845.029999997</v>
      </c>
      <c r="AH38" s="35">
        <v>8414</v>
      </c>
      <c r="AI38" s="35">
        <v>30019576.146829791</v>
      </c>
      <c r="AJ38" s="35">
        <v>11643</v>
      </c>
      <c r="AK38" s="72">
        <f>VLOOKUP(AA38,'FY 2018 TABLE 15'!$A$11:$M$146,6,FALSE)-AC38</f>
        <v>329556.14526581485</v>
      </c>
      <c r="AL38" s="72">
        <f>VLOOKUP(AA38,'FY 2018 TABLE 15'!$A$11:$M$146,7,FALSE)-AD38</f>
        <v>89</v>
      </c>
      <c r="AM38" s="72">
        <f>VLOOKUP(AA38,'FY 2018 TABLE 15'!$A$11:$M$146,10,FALSE)-AE38</f>
        <v>203408.23000000045</v>
      </c>
      <c r="AN38" s="72">
        <f>VLOOKUP(AA38,'FY 2018 TABLE 15'!$A$11:$M$146,11,FALSE)-AF38</f>
        <v>63</v>
      </c>
      <c r="AO38" s="72">
        <f>VLOOKUP(AA38,'FY 2018 TABLE 15'!$A$11:$M$146,4,FALSE)-AG38</f>
        <v>1488832.8200000338</v>
      </c>
      <c r="AP38" s="72">
        <f>VLOOKUP(AA38,'FY 2018 TABLE 15'!$A$11:$M$146,5,FALSE)-AH38</f>
        <v>349</v>
      </c>
      <c r="AQ38" s="72">
        <f>VLOOKUP(AA38,'FY 2018 TABLE 15'!$A$11:$M$146,12,FALSE)-AI38</f>
        <v>1929874.4552658498</v>
      </c>
      <c r="AR38" s="73">
        <f>VLOOKUP(AA38,'FY 2018 TABLE 15'!$A$11:$M$146,13,FALSE)-AJ38</f>
        <v>433</v>
      </c>
    </row>
    <row r="39" spans="1:44" ht="15.75" x14ac:dyDescent="0.25">
      <c r="A39" s="334" t="s">
        <v>588</v>
      </c>
      <c r="B39" s="335"/>
      <c r="C39" s="335"/>
      <c r="D39" s="335"/>
      <c r="E39" s="116"/>
      <c r="F39" s="4" t="e">
        <f>VLOOKUP($A$5,'Source Data'!A2:P137,8, FALSE)</f>
        <v>#N/A</v>
      </c>
      <c r="G39" s="103"/>
      <c r="H39" s="131"/>
      <c r="I39" s="65"/>
      <c r="J39" s="22"/>
      <c r="K39" s="17"/>
      <c r="L39" s="17"/>
      <c r="M39" s="17"/>
      <c r="N39" s="17"/>
      <c r="O39" s="17"/>
      <c r="P39" s="17"/>
      <c r="Q39" s="17"/>
      <c r="R39" s="17"/>
      <c r="S39" s="17"/>
      <c r="T39" s="17"/>
      <c r="U39" s="17"/>
      <c r="V39" s="17"/>
      <c r="W39" s="17"/>
      <c r="X39" s="17"/>
      <c r="Y39" s="17"/>
      <c r="Z39" s="17"/>
      <c r="AA39" s="236">
        <v>38</v>
      </c>
      <c r="AB39" s="237" t="s">
        <v>184</v>
      </c>
      <c r="AC39" s="35">
        <v>9291124.129467262</v>
      </c>
      <c r="AD39" s="35">
        <v>5684</v>
      </c>
      <c r="AE39" s="35">
        <v>2411240.13</v>
      </c>
      <c r="AF39" s="35">
        <v>1475</v>
      </c>
      <c r="AG39" s="35">
        <v>6459309.9000000013</v>
      </c>
      <c r="AH39" s="35">
        <v>3952</v>
      </c>
      <c r="AI39" s="35">
        <v>20382656.059467264</v>
      </c>
      <c r="AJ39" s="35">
        <v>12470</v>
      </c>
      <c r="AK39" s="72">
        <f>VLOOKUP(AA39,'FY 2018 TABLE 15'!$A$11:$M$146,6,FALSE)-AC39</f>
        <v>-272496.4294672627</v>
      </c>
      <c r="AL39" s="72">
        <f>VLOOKUP(AA39,'FY 2018 TABLE 15'!$A$11:$M$146,7,FALSE)-AD39</f>
        <v>49</v>
      </c>
      <c r="AM39" s="72">
        <f>VLOOKUP(AA39,'FY 2018 TABLE 15'!$A$11:$M$146,10,FALSE)-AE39</f>
        <v>-343969.86999999988</v>
      </c>
      <c r="AN39" s="72">
        <f>VLOOKUP(AA39,'FY 2018 TABLE 15'!$A$11:$M$146,11,FALSE)-AF39</f>
        <v>-161</v>
      </c>
      <c r="AO39" s="72">
        <f>VLOOKUP(AA39,'FY 2018 TABLE 15'!$A$11:$M$146,4,FALSE)-AG39</f>
        <v>606503.26000000071</v>
      </c>
      <c r="AP39" s="72">
        <f>VLOOKUP(AA39,'FY 2018 TABLE 15'!$A$11:$M$146,5,FALSE)-AH39</f>
        <v>540</v>
      </c>
      <c r="AQ39" s="72">
        <f>VLOOKUP(AA39,'FY 2018 TABLE 15'!$A$11:$M$146,12,FALSE)-AI39</f>
        <v>-97116.139467261732</v>
      </c>
      <c r="AR39" s="73">
        <f>VLOOKUP(AA39,'FY 2018 TABLE 15'!$A$11:$M$146,13,FALSE)-AJ39</f>
        <v>426</v>
      </c>
    </row>
    <row r="40" spans="1:44" ht="6.95" customHeight="1" thickBot="1" x14ac:dyDescent="0.3">
      <c r="A40" s="146"/>
      <c r="B40" s="101"/>
      <c r="C40" s="101"/>
      <c r="D40" s="101"/>
      <c r="E40" s="114"/>
      <c r="F40" s="107"/>
      <c r="G40" s="101"/>
      <c r="H40" s="154"/>
      <c r="I40" s="65"/>
      <c r="J40" s="22"/>
      <c r="K40" s="17"/>
      <c r="L40" s="17"/>
      <c r="M40" s="17"/>
      <c r="N40" s="17"/>
      <c r="O40" s="17"/>
      <c r="P40" s="17"/>
      <c r="Q40" s="17"/>
      <c r="R40" s="17"/>
      <c r="S40" s="17"/>
      <c r="T40" s="17"/>
      <c r="U40" s="17"/>
      <c r="V40" s="17"/>
      <c r="W40" s="17"/>
      <c r="X40" s="17"/>
      <c r="Y40" s="17"/>
      <c r="Z40" s="17"/>
      <c r="AA40" s="236">
        <v>39</v>
      </c>
      <c r="AB40" s="237" t="s">
        <v>185</v>
      </c>
      <c r="AC40" s="35">
        <v>15148475.138615927</v>
      </c>
      <c r="AD40" s="35">
        <v>4809</v>
      </c>
      <c r="AE40" s="35">
        <v>2006402.28</v>
      </c>
      <c r="AF40" s="35">
        <v>637</v>
      </c>
      <c r="AG40" s="35">
        <v>12627964.999999994</v>
      </c>
      <c r="AH40" s="35">
        <v>4009</v>
      </c>
      <c r="AI40" s="35">
        <v>33233945.778615922</v>
      </c>
      <c r="AJ40" s="35">
        <v>10550</v>
      </c>
      <c r="AK40" s="72">
        <f>VLOOKUP(AA40,'FY 2018 TABLE 15'!$A$11:$M$146,6,FALSE)-AC40</f>
        <v>391117.19226157852</v>
      </c>
      <c r="AL40" s="72">
        <f>VLOOKUP(AA40,'FY 2018 TABLE 15'!$A$11:$M$146,7,FALSE)-AD40</f>
        <v>250</v>
      </c>
      <c r="AM40" s="72">
        <f>VLOOKUP(AA40,'FY 2018 TABLE 15'!$A$11:$M$146,10,FALSE)-AE40</f>
        <v>195198.67999999993</v>
      </c>
      <c r="AN40" s="72">
        <f>VLOOKUP(AA40,'FY 2018 TABLE 15'!$A$11:$M$146,11,FALSE)-AF40</f>
        <v>80</v>
      </c>
      <c r="AO40" s="72">
        <f>VLOOKUP(AA40,'FY 2018 TABLE 15'!$A$11:$M$146,4,FALSE)-AG40</f>
        <v>1849234.4599999692</v>
      </c>
      <c r="AP40" s="72">
        <f>VLOOKUP(AA40,'FY 2018 TABLE 15'!$A$11:$M$146,5,FALSE)-AH40</f>
        <v>704</v>
      </c>
      <c r="AQ40" s="72">
        <f>VLOOKUP(AA40,'FY 2018 TABLE 15'!$A$11:$M$146,12,FALSE)-AI40</f>
        <v>2375001.2922615483</v>
      </c>
      <c r="AR40" s="73">
        <f>VLOOKUP(AA40,'FY 2018 TABLE 15'!$A$11:$M$146,13,FALSE)-AJ40</f>
        <v>1043</v>
      </c>
    </row>
    <row r="41" spans="1:44" ht="16.5" thickBot="1" x14ac:dyDescent="0.3">
      <c r="A41" s="152" t="s">
        <v>3</v>
      </c>
      <c r="B41" s="112"/>
      <c r="C41" s="101"/>
      <c r="D41" s="101"/>
      <c r="E41" s="114"/>
      <c r="F41" s="101"/>
      <c r="G41" s="108"/>
      <c r="H41" s="145" t="e">
        <f>ROUND(F39/$F$63,0)</f>
        <v>#N/A</v>
      </c>
      <c r="I41" s="65" t="e">
        <f>VLOOKUP($A$5, 'FY 2018 TABLE 15'!A11:M146, 9, FALSE)</f>
        <v>#N/A</v>
      </c>
      <c r="J41" s="22" t="e">
        <f>IF(H41=I41, "OK", "???")</f>
        <v>#N/A</v>
      </c>
      <c r="K41" s="17"/>
      <c r="L41" s="17"/>
      <c r="M41" s="17"/>
      <c r="N41" s="17"/>
      <c r="O41" s="17"/>
      <c r="P41" s="17"/>
      <c r="Q41" s="17"/>
      <c r="R41" s="17"/>
      <c r="S41" s="17"/>
      <c r="T41" s="17"/>
      <c r="U41" s="17"/>
      <c r="V41" s="17"/>
      <c r="W41" s="17"/>
      <c r="X41" s="17"/>
      <c r="Y41" s="17"/>
      <c r="Z41" s="17"/>
      <c r="AA41" s="236">
        <v>40</v>
      </c>
      <c r="AB41" s="237" t="s">
        <v>601</v>
      </c>
      <c r="AC41" s="35">
        <v>15660627.034054592</v>
      </c>
      <c r="AD41" s="35">
        <v>6257</v>
      </c>
      <c r="AE41" s="35">
        <v>3289899.7099999995</v>
      </c>
      <c r="AF41" s="35">
        <v>1314</v>
      </c>
      <c r="AG41" s="35">
        <v>5703236.9600000083</v>
      </c>
      <c r="AH41" s="35">
        <v>2279</v>
      </c>
      <c r="AI41" s="35">
        <v>27294671.4440546</v>
      </c>
      <c r="AJ41" s="35">
        <v>10906</v>
      </c>
      <c r="AK41" s="72">
        <f>VLOOKUP(AA41,'FY 2018 TABLE 15'!$A$11:$M$146,6,FALSE)-AC41</f>
        <v>-495180.57350886241</v>
      </c>
      <c r="AL41" s="72">
        <f>VLOOKUP(AA41,'FY 2018 TABLE 15'!$A$11:$M$146,7,FALSE)-AD41</f>
        <v>192</v>
      </c>
      <c r="AM41" s="72">
        <f>VLOOKUP(AA41,'FY 2018 TABLE 15'!$A$11:$M$146,10,FALSE)-AE41</f>
        <v>1027894.6000000001</v>
      </c>
      <c r="AN41" s="72">
        <f>VLOOKUP(AA41,'FY 2018 TABLE 15'!$A$11:$M$146,11,FALSE)-AF41</f>
        <v>522</v>
      </c>
      <c r="AO41" s="72">
        <f>VLOOKUP(AA41,'FY 2018 TABLE 15'!$A$11:$M$146,4,FALSE)-AG41</f>
        <v>-59433.199999991804</v>
      </c>
      <c r="AP41" s="72">
        <f>VLOOKUP(AA41,'FY 2018 TABLE 15'!$A$11:$M$146,5,FALSE)-AH41</f>
        <v>121</v>
      </c>
      <c r="AQ41" s="72">
        <f>VLOOKUP(AA41,'FY 2018 TABLE 15'!$A$11:$M$146,12,FALSE)-AI41</f>
        <v>441761.2664911449</v>
      </c>
      <c r="AR41" s="73">
        <f>VLOOKUP(AA41,'FY 2018 TABLE 15'!$A$11:$M$146,13,FALSE)-AJ41</f>
        <v>890</v>
      </c>
    </row>
    <row r="42" spans="1:44" ht="21.95" customHeight="1" x14ac:dyDescent="0.25">
      <c r="A42" s="146"/>
      <c r="B42" s="101"/>
      <c r="C42" s="101"/>
      <c r="D42" s="101"/>
      <c r="E42" s="114"/>
      <c r="F42" s="102"/>
      <c r="G42" s="101"/>
      <c r="H42" s="153"/>
      <c r="I42" s="65"/>
      <c r="J42" s="22"/>
      <c r="K42" s="17"/>
      <c r="L42" s="17"/>
      <c r="M42" s="17"/>
      <c r="N42" s="17"/>
      <c r="O42" s="17"/>
      <c r="P42" s="17"/>
      <c r="Q42" s="17"/>
      <c r="R42" s="17"/>
      <c r="S42" s="17"/>
      <c r="T42" s="17"/>
      <c r="U42" s="17"/>
      <c r="V42" s="17"/>
      <c r="W42" s="17"/>
      <c r="X42" s="17"/>
      <c r="Y42" s="17"/>
      <c r="Z42" s="17"/>
      <c r="AA42" s="236">
        <v>41</v>
      </c>
      <c r="AB42" s="237" t="s">
        <v>186</v>
      </c>
      <c r="AC42" s="35">
        <v>28722996.330000002</v>
      </c>
      <c r="AD42" s="35">
        <v>5604</v>
      </c>
      <c r="AE42" s="35">
        <v>6786712.330000001</v>
      </c>
      <c r="AF42" s="35">
        <v>1324</v>
      </c>
      <c r="AG42" s="35">
        <v>15414178.949999999</v>
      </c>
      <c r="AH42" s="35">
        <v>3007</v>
      </c>
      <c r="AI42" s="35">
        <v>56739220.090000004</v>
      </c>
      <c r="AJ42" s="35">
        <v>11070</v>
      </c>
      <c r="AK42" s="72">
        <f>VLOOKUP(AA42,'FY 2018 TABLE 15'!$A$11:$M$146,6,FALSE)-AC42</f>
        <v>728570.26000000164</v>
      </c>
      <c r="AL42" s="72">
        <f>VLOOKUP(AA42,'FY 2018 TABLE 15'!$A$11:$M$146,7,FALSE)-AD42</f>
        <v>255</v>
      </c>
      <c r="AM42" s="72">
        <f>VLOOKUP(AA42,'FY 2018 TABLE 15'!$A$11:$M$146,10,FALSE)-AE42</f>
        <v>496534.28999999911</v>
      </c>
      <c r="AN42" s="72">
        <f>VLOOKUP(AA42,'FY 2018 TABLE 15'!$A$11:$M$146,11,FALSE)-AF42</f>
        <v>125</v>
      </c>
      <c r="AO42" s="72">
        <f>VLOOKUP(AA42,'FY 2018 TABLE 15'!$A$11:$M$146,4,FALSE)-AG42</f>
        <v>-425520.63000000641</v>
      </c>
      <c r="AP42" s="72">
        <f>VLOOKUP(AA42,'FY 2018 TABLE 15'!$A$11:$M$146,5,FALSE)-AH42</f>
        <v>-25</v>
      </c>
      <c r="AQ42" s="72">
        <f>VLOOKUP(AA42,'FY 2018 TABLE 15'!$A$11:$M$146,12,FALSE)-AI42</f>
        <v>773746.21999999136</v>
      </c>
      <c r="AR42" s="73">
        <f>VLOOKUP(AA42,'FY 2018 TABLE 15'!$A$11:$M$146,13,FALSE)-AJ42</f>
        <v>372</v>
      </c>
    </row>
    <row r="43" spans="1:44" ht="15.75" x14ac:dyDescent="0.25">
      <c r="A43" s="334" t="s">
        <v>648</v>
      </c>
      <c r="B43" s="335"/>
      <c r="C43" s="335"/>
      <c r="D43" s="101"/>
      <c r="E43" s="113"/>
      <c r="F43" s="4" t="e">
        <f>VLOOKUP($A$5,'Source Data'!A2:P137,9, FALSE)</f>
        <v>#N/A</v>
      </c>
      <c r="G43" s="103"/>
      <c r="H43" s="131"/>
      <c r="I43" s="65"/>
      <c r="J43" s="22"/>
      <c r="K43" s="17"/>
      <c r="L43" s="17"/>
      <c r="M43" s="17"/>
      <c r="N43" s="17"/>
      <c r="O43" s="17"/>
      <c r="P43" s="17"/>
      <c r="Q43" s="17"/>
      <c r="R43" s="17"/>
      <c r="S43" s="17"/>
      <c r="T43" s="17"/>
      <c r="U43" s="17"/>
      <c r="V43" s="17"/>
      <c r="W43" s="17"/>
      <c r="X43" s="17"/>
      <c r="Y43" s="17"/>
      <c r="Z43" s="17"/>
      <c r="AA43" s="236">
        <v>42</v>
      </c>
      <c r="AB43" s="237" t="s">
        <v>187</v>
      </c>
      <c r="AC43" s="35">
        <v>67951721.553592175</v>
      </c>
      <c r="AD43" s="35">
        <v>3767</v>
      </c>
      <c r="AE43" s="35">
        <v>9459907.790000001</v>
      </c>
      <c r="AF43" s="35">
        <v>524</v>
      </c>
      <c r="AG43" s="35">
        <v>84149458.819999963</v>
      </c>
      <c r="AH43" s="35">
        <v>4665</v>
      </c>
      <c r="AI43" s="35">
        <v>180455974.96359214</v>
      </c>
      <c r="AJ43" s="35">
        <v>10004</v>
      </c>
      <c r="AK43" s="72">
        <f>VLOOKUP(AA43,'FY 2018 TABLE 15'!$A$11:$M$146,6,FALSE)-AC43</f>
        <v>3259925.8557015359</v>
      </c>
      <c r="AL43" s="72">
        <f>VLOOKUP(AA43,'FY 2018 TABLE 15'!$A$11:$M$146,7,FALSE)-AD43</f>
        <v>230</v>
      </c>
      <c r="AM43" s="72">
        <f>VLOOKUP(AA43,'FY 2018 TABLE 15'!$A$11:$M$146,10,FALSE)-AE43</f>
        <v>-196702.94000000134</v>
      </c>
      <c r="AN43" s="72">
        <f>VLOOKUP(AA43,'FY 2018 TABLE 15'!$A$11:$M$146,11,FALSE)-AF43</f>
        <v>-4</v>
      </c>
      <c r="AO43" s="72">
        <f>VLOOKUP(AA43,'FY 2018 TABLE 15'!$A$11:$M$146,4,FALSE)-AG43</f>
        <v>5845595.9699999988</v>
      </c>
      <c r="AP43" s="72">
        <f>VLOOKUP(AA43,'FY 2018 TABLE 15'!$A$11:$M$146,5,FALSE)-AH43</f>
        <v>387</v>
      </c>
      <c r="AQ43" s="72">
        <f>VLOOKUP(AA43,'FY 2018 TABLE 15'!$A$11:$M$146,12,FALSE)-AI43</f>
        <v>8121704.805701524</v>
      </c>
      <c r="AR43" s="73">
        <f>VLOOKUP(AA43,'FY 2018 TABLE 15'!$A$11:$M$146,13,FALSE)-AJ43</f>
        <v>582</v>
      </c>
    </row>
    <row r="44" spans="1:44" ht="6.95" customHeight="1" x14ac:dyDescent="0.25">
      <c r="A44" s="264"/>
      <c r="B44" s="255"/>
      <c r="C44" s="255"/>
      <c r="D44" s="255"/>
      <c r="E44" s="255"/>
      <c r="F44" s="124"/>
      <c r="G44" s="255"/>
      <c r="H44" s="265"/>
      <c r="I44" s="65"/>
      <c r="J44" s="22"/>
      <c r="K44" s="17"/>
      <c r="L44" s="17"/>
      <c r="M44" s="17"/>
      <c r="N44" s="17"/>
      <c r="O44" s="17"/>
      <c r="P44" s="17"/>
      <c r="Q44" s="17"/>
      <c r="R44" s="17"/>
      <c r="S44" s="17"/>
      <c r="T44" s="17"/>
      <c r="U44" s="17"/>
      <c r="V44" s="17"/>
      <c r="W44" s="17"/>
      <c r="X44" s="17"/>
      <c r="Y44" s="17"/>
      <c r="Z44" s="17"/>
      <c r="AA44" s="236">
        <v>43</v>
      </c>
      <c r="AB44" s="237" t="s">
        <v>188</v>
      </c>
      <c r="AC44" s="35">
        <v>166584354.01026487</v>
      </c>
      <c r="AD44" s="35">
        <v>3252</v>
      </c>
      <c r="AE44" s="35">
        <v>44919423.939999998</v>
      </c>
      <c r="AF44" s="35">
        <v>877</v>
      </c>
      <c r="AG44" s="35">
        <v>235604613.30000001</v>
      </c>
      <c r="AH44" s="35">
        <v>4599</v>
      </c>
      <c r="AI44" s="35">
        <v>501535231.53026485</v>
      </c>
      <c r="AJ44" s="35">
        <v>9790</v>
      </c>
      <c r="AK44" s="72">
        <f>VLOOKUP(AA44,'FY 2018 TABLE 15'!$A$11:$M$146,6,FALSE)-AC44</f>
        <v>9727442.8607516587</v>
      </c>
      <c r="AL44" s="72">
        <f>VLOOKUP(AA44,'FY 2018 TABLE 15'!$A$11:$M$146,7,FALSE)-AD44</f>
        <v>178</v>
      </c>
      <c r="AM44" s="72">
        <f>VLOOKUP(AA44,'FY 2018 TABLE 15'!$A$11:$M$146,10,FALSE)-AE44</f>
        <v>-9792971.7199999988</v>
      </c>
      <c r="AN44" s="72">
        <f>VLOOKUP(AA44,'FY 2018 TABLE 15'!$A$11:$M$146,11,FALSE)-AF44</f>
        <v>-194</v>
      </c>
      <c r="AO44" s="72">
        <f>VLOOKUP(AA44,'FY 2018 TABLE 15'!$A$11:$M$146,4,FALSE)-AG44</f>
        <v>13799002.100000471</v>
      </c>
      <c r="AP44" s="72">
        <f>VLOOKUP(AA44,'FY 2018 TABLE 15'!$A$11:$M$146,5,FALSE)-AH44</f>
        <v>253</v>
      </c>
      <c r="AQ44" s="72">
        <f>VLOOKUP(AA44,'FY 2018 TABLE 15'!$A$11:$M$146,12,FALSE)-AI44</f>
        <v>15088598.820752144</v>
      </c>
      <c r="AR44" s="73">
        <f>VLOOKUP(AA44,'FY 2018 TABLE 15'!$A$11:$M$146,13,FALSE)-AJ44</f>
        <v>261</v>
      </c>
    </row>
    <row r="45" spans="1:44" ht="15.75" x14ac:dyDescent="0.25">
      <c r="A45" s="141" t="s">
        <v>4</v>
      </c>
      <c r="B45" s="101"/>
      <c r="C45" s="255"/>
      <c r="D45" s="255"/>
      <c r="E45" s="266"/>
      <c r="F45" s="4" t="e">
        <f>VLOOKUP($A$5,'Source Data'!A2:P137,10, FALSE)</f>
        <v>#N/A</v>
      </c>
      <c r="G45" s="267"/>
      <c r="H45" s="265"/>
      <c r="I45" s="65"/>
      <c r="J45" s="22"/>
      <c r="K45" s="17"/>
      <c r="L45" s="17"/>
      <c r="M45" s="17"/>
      <c r="N45" s="17"/>
      <c r="O45" s="17"/>
      <c r="P45" s="17"/>
      <c r="Q45" s="17"/>
      <c r="R45" s="17"/>
      <c r="S45" s="17"/>
      <c r="T45" s="17"/>
      <c r="U45" s="17"/>
      <c r="V45" s="17"/>
      <c r="W45" s="17"/>
      <c r="X45" s="17"/>
      <c r="Y45" s="17"/>
      <c r="Z45" s="17"/>
      <c r="AA45" s="236">
        <v>44</v>
      </c>
      <c r="AB45" s="237" t="s">
        <v>189</v>
      </c>
      <c r="AC45" s="35">
        <v>43491470.731861338</v>
      </c>
      <c r="AD45" s="35">
        <v>5837</v>
      </c>
      <c r="AE45" s="35">
        <v>9672550.3599999994</v>
      </c>
      <c r="AF45" s="35">
        <v>1298</v>
      </c>
      <c r="AG45" s="35">
        <v>14984833.340000022</v>
      </c>
      <c r="AH45" s="35">
        <v>2011</v>
      </c>
      <c r="AI45" s="35">
        <v>76087541.41186136</v>
      </c>
      <c r="AJ45" s="35">
        <v>10211</v>
      </c>
      <c r="AK45" s="72">
        <f>VLOOKUP(AA45,'FY 2018 TABLE 15'!$A$11:$M$146,6,FALSE)-AC45</f>
        <v>1957763.9874547496</v>
      </c>
      <c r="AL45" s="72">
        <f>VLOOKUP(AA45,'FY 2018 TABLE 15'!$A$11:$M$146,7,FALSE)-AD45</f>
        <v>280</v>
      </c>
      <c r="AM45" s="72">
        <f>VLOOKUP(AA45,'FY 2018 TABLE 15'!$A$11:$M$146,10,FALSE)-AE45</f>
        <v>171490.21999999881</v>
      </c>
      <c r="AN45" s="72">
        <f>VLOOKUP(AA45,'FY 2018 TABLE 15'!$A$11:$M$146,11,FALSE)-AF45</f>
        <v>27</v>
      </c>
      <c r="AO45" s="72">
        <f>VLOOKUP(AA45,'FY 2018 TABLE 15'!$A$11:$M$146,4,FALSE)-AG45</f>
        <v>-51991.690000031143</v>
      </c>
      <c r="AP45" s="72">
        <f>VLOOKUP(AA45,'FY 2018 TABLE 15'!$A$11:$M$146,5,FALSE)-AH45</f>
        <v>-1</v>
      </c>
      <c r="AQ45" s="72">
        <f>VLOOKUP(AA45,'FY 2018 TABLE 15'!$A$11:$M$146,12,FALSE)-AI45</f>
        <v>1669588.5574547201</v>
      </c>
      <c r="AR45" s="73">
        <f>VLOOKUP(AA45,'FY 2018 TABLE 15'!$A$11:$M$146,13,FALSE)-AJ45</f>
        <v>255</v>
      </c>
    </row>
    <row r="46" spans="1:44" ht="6.95" customHeight="1" x14ac:dyDescent="0.25">
      <c r="A46" s="141"/>
      <c r="B46" s="101"/>
      <c r="C46" s="255"/>
      <c r="D46" s="255"/>
      <c r="E46" s="255"/>
      <c r="F46" s="124"/>
      <c r="G46" s="255"/>
      <c r="H46" s="265"/>
      <c r="I46" s="65"/>
      <c r="J46" s="22"/>
      <c r="K46" s="17"/>
      <c r="L46" s="17"/>
      <c r="M46" s="17"/>
      <c r="N46" s="17"/>
      <c r="O46" s="17"/>
      <c r="P46" s="17"/>
      <c r="Q46" s="17"/>
      <c r="R46" s="17"/>
      <c r="S46" s="17"/>
      <c r="T46" s="17"/>
      <c r="U46" s="17"/>
      <c r="V46" s="17"/>
      <c r="W46" s="17"/>
      <c r="X46" s="17"/>
      <c r="Y46" s="17"/>
      <c r="Z46" s="17"/>
      <c r="AA46" s="236">
        <v>45</v>
      </c>
      <c r="AB46" s="237" t="s">
        <v>190</v>
      </c>
      <c r="AC46" s="35">
        <v>1502165.4750673627</v>
      </c>
      <c r="AD46" s="35">
        <v>6997</v>
      </c>
      <c r="AE46" s="35">
        <v>236408.64</v>
      </c>
      <c r="AF46" s="35">
        <v>1101</v>
      </c>
      <c r="AG46" s="35">
        <v>2190028.8300000005</v>
      </c>
      <c r="AH46" s="35">
        <v>10201</v>
      </c>
      <c r="AI46" s="35">
        <v>4169812.7850673632</v>
      </c>
      <c r="AJ46" s="35">
        <v>19422</v>
      </c>
      <c r="AK46" s="72">
        <f>VLOOKUP(AA46,'FY 2018 TABLE 15'!$A$11:$M$146,6,FALSE)-AC46</f>
        <v>-88695.724431034643</v>
      </c>
      <c r="AL46" s="72">
        <f>VLOOKUP(AA46,'FY 2018 TABLE 15'!$A$11:$M$146,7,FALSE)-AD46</f>
        <v>-226</v>
      </c>
      <c r="AM46" s="72">
        <f>VLOOKUP(AA46,'FY 2018 TABLE 15'!$A$11:$M$146,10,FALSE)-AE46</f>
        <v>-19551.460000000021</v>
      </c>
      <c r="AN46" s="72">
        <f>VLOOKUP(AA46,'FY 2018 TABLE 15'!$A$11:$M$146,11,FALSE)-AF46</f>
        <v>-62</v>
      </c>
      <c r="AO46" s="72">
        <f>VLOOKUP(AA46,'FY 2018 TABLE 15'!$A$11:$M$146,4,FALSE)-AG46</f>
        <v>219432.78000000119</v>
      </c>
      <c r="AP46" s="72">
        <f>VLOOKUP(AA46,'FY 2018 TABLE 15'!$A$11:$M$146,5,FALSE)-AH46</f>
        <v>1342</v>
      </c>
      <c r="AQ46" s="72">
        <f>VLOOKUP(AA46,'FY 2018 TABLE 15'!$A$11:$M$146,12,FALSE)-AI46</f>
        <v>107337.97556896647</v>
      </c>
      <c r="AR46" s="73">
        <f>VLOOKUP(AA46,'FY 2018 TABLE 15'!$A$11:$M$146,13,FALSE)-AJ46</f>
        <v>1068</v>
      </c>
    </row>
    <row r="47" spans="1:44" ht="15.75" x14ac:dyDescent="0.25">
      <c r="A47" s="141" t="s">
        <v>5</v>
      </c>
      <c r="B47" s="101"/>
      <c r="C47" s="255"/>
      <c r="D47" s="255"/>
      <c r="E47" s="266"/>
      <c r="F47" s="4" t="e">
        <f>VLOOKUP($A$5,'Source Data'!A2:P137,11, FALSE)</f>
        <v>#N/A</v>
      </c>
      <c r="G47" s="267"/>
      <c r="H47" s="265"/>
      <c r="I47" s="65"/>
      <c r="J47" s="22"/>
      <c r="K47" s="17"/>
      <c r="L47" s="17"/>
      <c r="M47" s="17"/>
      <c r="N47" s="17"/>
      <c r="O47" s="17"/>
      <c r="P47" s="17"/>
      <c r="Q47" s="17"/>
      <c r="R47" s="17"/>
      <c r="S47" s="17"/>
      <c r="T47" s="17"/>
      <c r="U47" s="17"/>
      <c r="V47" s="17"/>
      <c r="W47" s="17"/>
      <c r="X47" s="17"/>
      <c r="Y47" s="17"/>
      <c r="Z47" s="17"/>
      <c r="AA47" s="236">
        <v>46</v>
      </c>
      <c r="AB47" s="237" t="s">
        <v>191</v>
      </c>
      <c r="AC47" s="35">
        <v>22820508.569275439</v>
      </c>
      <c r="AD47" s="35">
        <v>4195</v>
      </c>
      <c r="AE47" s="35">
        <v>3595749.6600000011</v>
      </c>
      <c r="AF47" s="35">
        <v>661</v>
      </c>
      <c r="AG47" s="35">
        <v>25157730.129999999</v>
      </c>
      <c r="AH47" s="35">
        <v>4625</v>
      </c>
      <c r="AI47" s="35">
        <v>57626598.219275437</v>
      </c>
      <c r="AJ47" s="35">
        <v>10593</v>
      </c>
      <c r="AK47" s="72">
        <f>VLOOKUP(AA47,'FY 2018 TABLE 15'!$A$11:$M$146,6,FALSE)-AC47</f>
        <v>764671.76836268604</v>
      </c>
      <c r="AL47" s="72">
        <f>VLOOKUP(AA47,'FY 2018 TABLE 15'!$A$11:$M$146,7,FALSE)-AD47</f>
        <v>112</v>
      </c>
      <c r="AM47" s="72">
        <f>VLOOKUP(AA47,'FY 2018 TABLE 15'!$A$11:$M$146,10,FALSE)-AE47</f>
        <v>-395425.91000000061</v>
      </c>
      <c r="AN47" s="72">
        <f>VLOOKUP(AA47,'FY 2018 TABLE 15'!$A$11:$M$146,11,FALSE)-AF47</f>
        <v>-77</v>
      </c>
      <c r="AO47" s="72">
        <f>VLOOKUP(AA47,'FY 2018 TABLE 15'!$A$11:$M$146,4,FALSE)-AG47</f>
        <v>-32994.459999937564</v>
      </c>
      <c r="AP47" s="72">
        <f>VLOOKUP(AA47,'FY 2018 TABLE 15'!$A$11:$M$146,5,FALSE)-AH47</f>
        <v>-36</v>
      </c>
      <c r="AQ47" s="72">
        <f>VLOOKUP(AA47,'FY 2018 TABLE 15'!$A$11:$M$146,12,FALSE)-AI47</f>
        <v>113639.17836274952</v>
      </c>
      <c r="AR47" s="73">
        <f>VLOOKUP(AA47,'FY 2018 TABLE 15'!$A$11:$M$146,13,FALSE)-AJ47</f>
        <v>-48</v>
      </c>
    </row>
    <row r="48" spans="1:44" ht="6.95" customHeight="1" x14ac:dyDescent="0.25">
      <c r="A48" s="141"/>
      <c r="B48" s="101"/>
      <c r="C48" s="255"/>
      <c r="D48" s="255"/>
      <c r="E48" s="255"/>
      <c r="F48" s="124"/>
      <c r="G48" s="255"/>
      <c r="H48" s="265"/>
      <c r="I48" s="65"/>
      <c r="J48" s="22"/>
      <c r="K48" s="17"/>
      <c r="L48" s="17"/>
      <c r="M48" s="17"/>
      <c r="N48" s="17"/>
      <c r="O48" s="17"/>
      <c r="P48" s="17"/>
      <c r="Q48" s="17"/>
      <c r="R48" s="17"/>
      <c r="S48" s="17"/>
      <c r="T48" s="17"/>
      <c r="U48" s="17"/>
      <c r="V48" s="17"/>
      <c r="W48" s="17"/>
      <c r="X48" s="17"/>
      <c r="Y48" s="17"/>
      <c r="Z48" s="17"/>
      <c r="AA48" s="236">
        <v>48</v>
      </c>
      <c r="AB48" s="237" t="s">
        <v>193</v>
      </c>
      <c r="AC48" s="35">
        <v>18769343.573006701</v>
      </c>
      <c r="AD48" s="35">
        <v>4332</v>
      </c>
      <c r="AE48" s="35">
        <v>2722510.93</v>
      </c>
      <c r="AF48" s="35">
        <v>628</v>
      </c>
      <c r="AG48" s="35">
        <v>17265503.999999996</v>
      </c>
      <c r="AH48" s="35">
        <v>3985</v>
      </c>
      <c r="AI48" s="35">
        <v>43496614.643006697</v>
      </c>
      <c r="AJ48" s="35">
        <v>10040</v>
      </c>
      <c r="AK48" s="72">
        <f>VLOOKUP(AA48,'FY 2018 TABLE 15'!$A$11:$M$146,6,FALSE)-AC48</f>
        <v>1857895.9758423492</v>
      </c>
      <c r="AL48" s="72">
        <f>VLOOKUP(AA48,'FY 2018 TABLE 15'!$A$11:$M$146,7,FALSE)-AD48</f>
        <v>293</v>
      </c>
      <c r="AM48" s="72">
        <f>VLOOKUP(AA48,'FY 2018 TABLE 15'!$A$11:$M$146,10,FALSE)-AE48</f>
        <v>-602571.49000000022</v>
      </c>
      <c r="AN48" s="72">
        <f>VLOOKUP(AA48,'FY 2018 TABLE 15'!$A$11:$M$146,11,FALSE)-AF48</f>
        <v>-153</v>
      </c>
      <c r="AO48" s="72">
        <f>VLOOKUP(AA48,'FY 2018 TABLE 15'!$A$11:$M$146,4,FALSE)-AG48</f>
        <v>252549.65000000969</v>
      </c>
      <c r="AP48" s="72">
        <f>VLOOKUP(AA48,'FY 2018 TABLE 15'!$A$11:$M$146,5,FALSE)-AH48</f>
        <v>-58</v>
      </c>
      <c r="AQ48" s="72">
        <f>VLOOKUP(AA48,'FY 2018 TABLE 15'!$A$11:$M$146,12,FALSE)-AI48</f>
        <v>1307678.2158423588</v>
      </c>
      <c r="AR48" s="73">
        <f>VLOOKUP(AA48,'FY 2018 TABLE 15'!$A$11:$M$146,13,FALSE)-AJ48</f>
        <v>5</v>
      </c>
    </row>
    <row r="49" spans="1:44" ht="15.75" x14ac:dyDescent="0.25">
      <c r="A49" s="141" t="s">
        <v>593</v>
      </c>
      <c r="B49" s="101"/>
      <c r="C49" s="255"/>
      <c r="D49" s="255"/>
      <c r="E49" s="266"/>
      <c r="F49" s="4" t="e">
        <f>VLOOKUP($A$5,'Source Data'!A2:P137,12, FALSE)</f>
        <v>#N/A</v>
      </c>
      <c r="G49" s="267"/>
      <c r="H49" s="265"/>
      <c r="I49" s="65"/>
      <c r="J49" s="22"/>
      <c r="K49" s="17"/>
      <c r="L49" s="17"/>
      <c r="M49" s="17"/>
      <c r="N49" s="17"/>
      <c r="O49" s="17"/>
      <c r="P49" s="17"/>
      <c r="Q49" s="17"/>
      <c r="R49" s="17"/>
      <c r="S49" s="17"/>
      <c r="T49" s="17"/>
      <c r="U49" s="17"/>
      <c r="V49" s="17"/>
      <c r="W49" s="17"/>
      <c r="X49" s="17"/>
      <c r="Y49" s="17"/>
      <c r="Z49" s="17"/>
      <c r="AA49" s="236">
        <v>49</v>
      </c>
      <c r="AB49" s="237" t="s">
        <v>192</v>
      </c>
      <c r="AC49" s="35">
        <v>4410160.4942478305</v>
      </c>
      <c r="AD49" s="35">
        <v>5261</v>
      </c>
      <c r="AE49" s="35">
        <v>972321.92</v>
      </c>
      <c r="AF49" s="35">
        <v>1160</v>
      </c>
      <c r="AG49" s="35">
        <v>3990541.169999999</v>
      </c>
      <c r="AH49" s="35">
        <v>4760</v>
      </c>
      <c r="AI49" s="35">
        <v>10419830.684247829</v>
      </c>
      <c r="AJ49" s="35">
        <v>12430</v>
      </c>
      <c r="AK49" s="72">
        <f>VLOOKUP(AA49,'FY 2018 TABLE 15'!$A$11:$M$146,6,FALSE)-AC49</f>
        <v>128480.8305330202</v>
      </c>
      <c r="AL49" s="72">
        <f>VLOOKUP(AA49,'FY 2018 TABLE 15'!$A$11:$M$146,7,FALSE)-AD49</f>
        <v>334</v>
      </c>
      <c r="AM49" s="72">
        <f>VLOOKUP(AA49,'FY 2018 TABLE 15'!$A$11:$M$146,10,FALSE)-AE49</f>
        <v>-38227.070000000065</v>
      </c>
      <c r="AN49" s="72">
        <f>VLOOKUP(AA49,'FY 2018 TABLE 15'!$A$11:$M$146,11,FALSE)-AF49</f>
        <v>-8</v>
      </c>
      <c r="AO49" s="72">
        <f>VLOOKUP(AA49,'FY 2018 TABLE 15'!$A$11:$M$146,4,FALSE)-AG49</f>
        <v>139997.17000000272</v>
      </c>
      <c r="AP49" s="72">
        <f>VLOOKUP(AA49,'FY 2018 TABLE 15'!$A$11:$M$146,5,FALSE)-AH49</f>
        <v>332</v>
      </c>
      <c r="AQ49" s="72">
        <f>VLOOKUP(AA49,'FY 2018 TABLE 15'!$A$11:$M$146,12,FALSE)-AI49</f>
        <v>178482.13053302281</v>
      </c>
      <c r="AR49" s="73">
        <f>VLOOKUP(AA49,'FY 2018 TABLE 15'!$A$11:$M$146,13,FALSE)-AJ49</f>
        <v>635</v>
      </c>
    </row>
    <row r="50" spans="1:44" ht="6.95" customHeight="1" x14ac:dyDescent="0.25">
      <c r="A50" s="146"/>
      <c r="B50" s="101"/>
      <c r="C50" s="255"/>
      <c r="D50" s="255"/>
      <c r="E50" s="255"/>
      <c r="F50" s="268"/>
      <c r="G50" s="255"/>
      <c r="H50" s="265"/>
      <c r="I50" s="65"/>
      <c r="J50" s="22"/>
      <c r="K50" s="17"/>
      <c r="L50" s="17"/>
      <c r="M50" s="17"/>
      <c r="N50" s="17"/>
      <c r="O50" s="17"/>
      <c r="P50" s="17"/>
      <c r="Q50" s="17"/>
      <c r="R50" s="17"/>
      <c r="S50" s="17"/>
      <c r="T50" s="17"/>
      <c r="U50" s="17"/>
      <c r="V50" s="17"/>
      <c r="W50" s="17"/>
      <c r="X50" s="17"/>
      <c r="Y50" s="17"/>
      <c r="Z50" s="17"/>
      <c r="AA50" s="236">
        <v>50</v>
      </c>
      <c r="AB50" s="237" t="s">
        <v>194</v>
      </c>
      <c r="AC50" s="35">
        <v>11171578.957715727</v>
      </c>
      <c r="AD50" s="35">
        <v>5127</v>
      </c>
      <c r="AE50" s="35">
        <v>1426201.96</v>
      </c>
      <c r="AF50" s="35">
        <v>654</v>
      </c>
      <c r="AG50" s="35">
        <v>9529929</v>
      </c>
      <c r="AH50" s="35">
        <v>4373</v>
      </c>
      <c r="AI50" s="35">
        <v>24279784.917715728</v>
      </c>
      <c r="AJ50" s="35">
        <v>11142</v>
      </c>
      <c r="AK50" s="72">
        <f>VLOOKUP(AA50,'FY 2018 TABLE 15'!$A$11:$M$146,6,FALSE)-AC50</f>
        <v>434232.00021631084</v>
      </c>
      <c r="AL50" s="72">
        <f>VLOOKUP(AA50,'FY 2018 TABLE 15'!$A$11:$M$146,7,FALSE)-AD50</f>
        <v>182</v>
      </c>
      <c r="AM50" s="72">
        <f>VLOOKUP(AA50,'FY 2018 TABLE 15'!$A$11:$M$146,10,FALSE)-AE50</f>
        <v>-4976.339999999851</v>
      </c>
      <c r="AN50" s="72">
        <f>VLOOKUP(AA50,'FY 2018 TABLE 15'!$A$11:$M$146,11,FALSE)-AF50</f>
        <v>-4</v>
      </c>
      <c r="AO50" s="72">
        <f>VLOOKUP(AA50,'FY 2018 TABLE 15'!$A$11:$M$146,4,FALSE)-AG50</f>
        <v>635080.63999999687</v>
      </c>
      <c r="AP50" s="72">
        <f>VLOOKUP(AA50,'FY 2018 TABLE 15'!$A$11:$M$146,5,FALSE)-AH50</f>
        <v>277</v>
      </c>
      <c r="AQ50" s="72">
        <f>VLOOKUP(AA50,'FY 2018 TABLE 15'!$A$11:$M$146,12,FALSE)-AI50</f>
        <v>1121509.9002163075</v>
      </c>
      <c r="AR50" s="73">
        <f>VLOOKUP(AA50,'FY 2018 TABLE 15'!$A$11:$M$146,13,FALSE)-AJ50</f>
        <v>478</v>
      </c>
    </row>
    <row r="51" spans="1:44" ht="15.75" x14ac:dyDescent="0.25">
      <c r="A51" s="144" t="s">
        <v>429</v>
      </c>
      <c r="B51" s="101"/>
      <c r="C51" s="255"/>
      <c r="D51" s="255"/>
      <c r="E51" s="266"/>
      <c r="F51" s="4" t="e">
        <f>F43+F45-F47-F49</f>
        <v>#N/A</v>
      </c>
      <c r="G51" s="267"/>
      <c r="H51" s="265"/>
      <c r="I51" s="65"/>
      <c r="J51" s="22"/>
      <c r="K51" s="17"/>
      <c r="L51" s="17"/>
      <c r="M51" s="17"/>
      <c r="N51" s="17"/>
      <c r="O51" s="17"/>
      <c r="P51" s="17"/>
      <c r="Q51" s="17"/>
      <c r="R51" s="17"/>
      <c r="S51" s="17"/>
      <c r="T51" s="17"/>
      <c r="U51" s="17"/>
      <c r="V51" s="17"/>
      <c r="W51" s="17"/>
      <c r="X51" s="17"/>
      <c r="Y51" s="17"/>
      <c r="Z51" s="17"/>
      <c r="AA51" s="236">
        <v>51</v>
      </c>
      <c r="AB51" s="237" t="s">
        <v>195</v>
      </c>
      <c r="AC51" s="35">
        <v>2683580.3903986393</v>
      </c>
      <c r="AD51" s="35">
        <v>2220</v>
      </c>
      <c r="AE51" s="35">
        <v>1420354.51</v>
      </c>
      <c r="AF51" s="35">
        <v>1175</v>
      </c>
      <c r="AG51" s="35">
        <v>10668952.100000001</v>
      </c>
      <c r="AH51" s="35">
        <v>8827</v>
      </c>
      <c r="AI51" s="35">
        <v>16074220.600398639</v>
      </c>
      <c r="AJ51" s="35">
        <v>13299</v>
      </c>
      <c r="AK51" s="72">
        <f>VLOOKUP(AA51,'FY 2018 TABLE 15'!$A$11:$M$146,6,FALSE)-AC51</f>
        <v>132274.5819937936</v>
      </c>
      <c r="AL51" s="72">
        <f>VLOOKUP(AA51,'FY 2018 TABLE 15'!$A$11:$M$146,7,FALSE)-AD51</f>
        <v>233</v>
      </c>
      <c r="AM51" s="72">
        <f>VLOOKUP(AA51,'FY 2018 TABLE 15'!$A$11:$M$146,10,FALSE)-AE51</f>
        <v>-162757.96999999997</v>
      </c>
      <c r="AN51" s="72">
        <f>VLOOKUP(AA51,'FY 2018 TABLE 15'!$A$11:$M$146,11,FALSE)-AF51</f>
        <v>-79</v>
      </c>
      <c r="AO51" s="72">
        <f>VLOOKUP(AA51,'FY 2018 TABLE 15'!$A$11:$M$146,4,FALSE)-AG51</f>
        <v>157766.82999999076</v>
      </c>
      <c r="AP51" s="72">
        <f>VLOOKUP(AA51,'FY 2018 TABLE 15'!$A$11:$M$146,5,FALSE)-AH51</f>
        <v>605</v>
      </c>
      <c r="AQ51" s="72">
        <f>VLOOKUP(AA51,'FY 2018 TABLE 15'!$A$11:$M$146,12,FALSE)-AI51</f>
        <v>42631.561993785203</v>
      </c>
      <c r="AR51" s="73">
        <f>VLOOKUP(AA51,'FY 2018 TABLE 15'!$A$11:$M$146,13,FALSE)-AJ51</f>
        <v>741</v>
      </c>
    </row>
    <row r="52" spans="1:44" ht="6.95" customHeight="1" thickBot="1" x14ac:dyDescent="0.3">
      <c r="A52" s="146"/>
      <c r="B52" s="101"/>
      <c r="C52" s="255"/>
      <c r="D52" s="255"/>
      <c r="E52" s="255"/>
      <c r="F52" s="269"/>
      <c r="G52" s="255"/>
      <c r="H52" s="270"/>
      <c r="I52" s="65"/>
      <c r="J52" s="22"/>
      <c r="K52" s="17"/>
      <c r="L52" s="17"/>
      <c r="M52" s="17"/>
      <c r="N52" s="17"/>
      <c r="O52" s="17"/>
      <c r="P52" s="17"/>
      <c r="Q52" s="17"/>
      <c r="R52" s="17"/>
      <c r="S52" s="17"/>
      <c r="T52" s="17"/>
      <c r="U52" s="17"/>
      <c r="V52" s="17"/>
      <c r="W52" s="17"/>
      <c r="X52" s="17"/>
      <c r="Y52" s="17"/>
      <c r="Z52" s="17"/>
      <c r="AA52" s="236">
        <v>52</v>
      </c>
      <c r="AB52" s="237" t="s">
        <v>196</v>
      </c>
      <c r="AC52" s="35">
        <v>22782943.543681663</v>
      </c>
      <c r="AD52" s="35">
        <v>7024</v>
      </c>
      <c r="AE52" s="35">
        <v>6900436.3899999997</v>
      </c>
      <c r="AF52" s="35">
        <v>2127</v>
      </c>
      <c r="AG52" s="35">
        <v>5378944.79</v>
      </c>
      <c r="AH52" s="35">
        <v>1658</v>
      </c>
      <c r="AI52" s="35">
        <v>38714886.843681663</v>
      </c>
      <c r="AJ52" s="35">
        <v>11936</v>
      </c>
      <c r="AK52" s="72">
        <f>VLOOKUP(AA52,'FY 2018 TABLE 15'!$A$11:$M$146,6,FALSE)-AC52</f>
        <v>1085730.1582681201</v>
      </c>
      <c r="AL52" s="72">
        <f>VLOOKUP(AA52,'FY 2018 TABLE 15'!$A$11:$M$146,7,FALSE)-AD52</f>
        <v>281</v>
      </c>
      <c r="AM52" s="72">
        <f>VLOOKUP(AA52,'FY 2018 TABLE 15'!$A$11:$M$146,10,FALSE)-AE52</f>
        <v>453787.44000000134</v>
      </c>
      <c r="AN52" s="72">
        <f>VLOOKUP(AA52,'FY 2018 TABLE 15'!$A$11:$M$146,11,FALSE)-AF52</f>
        <v>124</v>
      </c>
      <c r="AO52" s="72">
        <f>VLOOKUP(AA52,'FY 2018 TABLE 15'!$A$11:$M$146,4,FALSE)-AG52</f>
        <v>-112961.59999999497</v>
      </c>
      <c r="AP52" s="72">
        <f>VLOOKUP(AA52,'FY 2018 TABLE 15'!$A$11:$M$146,5,FALSE)-AH52</f>
        <v>-46</v>
      </c>
      <c r="AQ52" s="72">
        <f>VLOOKUP(AA52,'FY 2018 TABLE 15'!$A$11:$M$146,12,FALSE)-AI52</f>
        <v>1411115.7782681212</v>
      </c>
      <c r="AR52" s="73">
        <f>VLOOKUP(AA52,'FY 2018 TABLE 15'!$A$11:$M$146,13,FALSE)-AJ52</f>
        <v>345</v>
      </c>
    </row>
    <row r="53" spans="1:44" ht="16.5" thickBot="1" x14ac:dyDescent="0.3">
      <c r="A53" s="152" t="s">
        <v>428</v>
      </c>
      <c r="B53" s="112"/>
      <c r="C53" s="255"/>
      <c r="D53" s="255"/>
      <c r="E53" s="255"/>
      <c r="F53" s="255"/>
      <c r="G53" s="266"/>
      <c r="H53" s="145" t="e">
        <f>ROUND(F51/$F$63,0)</f>
        <v>#N/A</v>
      </c>
      <c r="I53" s="65" t="e">
        <f>VLOOKUP($A$5, 'FY 2018 TABLE 15'!A11:M146, 11, FALSE)</f>
        <v>#N/A</v>
      </c>
      <c r="J53" s="22" t="e">
        <f>IF(H53=I53, "OK", "???")</f>
        <v>#N/A</v>
      </c>
      <c r="K53" s="17"/>
      <c r="L53" s="17"/>
      <c r="M53" s="17"/>
      <c r="N53" s="17"/>
      <c r="O53" s="17"/>
      <c r="P53" s="17"/>
      <c r="Q53" s="17"/>
      <c r="R53" s="17"/>
      <c r="S53" s="17"/>
      <c r="T53" s="17"/>
      <c r="U53" s="17"/>
      <c r="V53" s="17"/>
      <c r="W53" s="17"/>
      <c r="X53" s="17"/>
      <c r="Y53" s="17"/>
      <c r="Z53" s="17"/>
      <c r="AA53" s="236">
        <v>53</v>
      </c>
      <c r="AB53" s="237" t="s">
        <v>197</v>
      </c>
      <c r="AC53" s="35">
        <v>247079002.54735935</v>
      </c>
      <c r="AD53" s="35">
        <v>3125</v>
      </c>
      <c r="AE53" s="35">
        <v>23842586.879999999</v>
      </c>
      <c r="AF53" s="35">
        <v>302</v>
      </c>
      <c r="AG53" s="35">
        <v>783864546.38999999</v>
      </c>
      <c r="AH53" s="35">
        <v>9914</v>
      </c>
      <c r="AI53" s="35">
        <v>1131936740.4473593</v>
      </c>
      <c r="AJ53" s="35">
        <v>14317</v>
      </c>
      <c r="AK53" s="72">
        <f>VLOOKUP(AA53,'FY 2018 TABLE 15'!$A$11:$M$146,6,FALSE)-AC53</f>
        <v>15609172.916122347</v>
      </c>
      <c r="AL53" s="72">
        <f>VLOOKUP(AA53,'FY 2018 TABLE 15'!$A$11:$M$146,7,FALSE)-AD53</f>
        <v>113</v>
      </c>
      <c r="AM53" s="72">
        <f>VLOOKUP(AA53,'FY 2018 TABLE 15'!$A$11:$M$146,10,FALSE)-AE53</f>
        <v>519504.37999999523</v>
      </c>
      <c r="AN53" s="72">
        <f>VLOOKUP(AA53,'FY 2018 TABLE 15'!$A$11:$M$146,11,FALSE)-AF53</f>
        <v>-2</v>
      </c>
      <c r="AO53" s="72">
        <f>VLOOKUP(AA53,'FY 2018 TABLE 15'!$A$11:$M$146,4,FALSE)-AG53</f>
        <v>32893213.839998603</v>
      </c>
      <c r="AP53" s="72">
        <f>VLOOKUP(AA53,'FY 2018 TABLE 15'!$A$11:$M$146,5,FALSE)-AH53</f>
        <v>155</v>
      </c>
      <c r="AQ53" s="72">
        <f>VLOOKUP(AA53,'FY 2018 TABLE 15'!$A$11:$M$146,12,FALSE)-AI53</f>
        <v>48444975.00612092</v>
      </c>
      <c r="AR53" s="73">
        <f>VLOOKUP(AA53,'FY 2018 TABLE 15'!$A$11:$M$146,13,FALSE)-AJ53</f>
        <v>234</v>
      </c>
    </row>
    <row r="54" spans="1:44" ht="21.95" customHeight="1" x14ac:dyDescent="0.25">
      <c r="A54" s="264"/>
      <c r="B54" s="255"/>
      <c r="C54" s="255"/>
      <c r="D54" s="255"/>
      <c r="E54" s="255"/>
      <c r="F54" s="271"/>
      <c r="G54" s="255"/>
      <c r="H54" s="272"/>
      <c r="I54" s="65"/>
      <c r="J54" s="22"/>
      <c r="K54" s="17"/>
      <c r="L54" s="17"/>
      <c r="M54" s="17"/>
      <c r="N54" s="17"/>
      <c r="O54" s="17"/>
      <c r="P54" s="17"/>
      <c r="Q54" s="17"/>
      <c r="R54" s="17"/>
      <c r="S54" s="17"/>
      <c r="T54" s="17"/>
      <c r="U54" s="17"/>
      <c r="V54" s="17"/>
      <c r="W54" s="17"/>
      <c r="X54" s="17"/>
      <c r="Y54" s="17"/>
      <c r="Z54" s="17"/>
      <c r="AA54" s="236">
        <v>54</v>
      </c>
      <c r="AB54" s="237" t="s">
        <v>198</v>
      </c>
      <c r="AC54" s="35">
        <v>16123133.533920877</v>
      </c>
      <c r="AD54" s="35">
        <v>3363</v>
      </c>
      <c r="AE54" s="35">
        <v>3658308.5000000005</v>
      </c>
      <c r="AF54" s="35">
        <v>763</v>
      </c>
      <c r="AG54" s="35">
        <v>29701750.98</v>
      </c>
      <c r="AH54" s="35">
        <v>6195</v>
      </c>
      <c r="AI54" s="35">
        <v>54795130.993920878</v>
      </c>
      <c r="AJ54" s="35">
        <v>11428</v>
      </c>
      <c r="AK54" s="72">
        <f>VLOOKUP(AA54,'FY 2018 TABLE 15'!$A$11:$M$146,6,FALSE)-AC54</f>
        <v>973502.51125203818</v>
      </c>
      <c r="AL54" s="72">
        <f>VLOOKUP(AA54,'FY 2018 TABLE 15'!$A$11:$M$146,7,FALSE)-AD54</f>
        <v>160</v>
      </c>
      <c r="AM54" s="72">
        <f>VLOOKUP(AA54,'FY 2018 TABLE 15'!$A$11:$M$146,10,FALSE)-AE54</f>
        <v>-334295.59000000032</v>
      </c>
      <c r="AN54" s="72">
        <f>VLOOKUP(AA54,'FY 2018 TABLE 15'!$A$11:$M$146,11,FALSE)-AF54</f>
        <v>-78</v>
      </c>
      <c r="AO54" s="72">
        <f>VLOOKUP(AA54,'FY 2018 TABLE 15'!$A$11:$M$146,4,FALSE)-AG54</f>
        <v>4345925.4400000311</v>
      </c>
      <c r="AP54" s="72">
        <f>VLOOKUP(AA54,'FY 2018 TABLE 15'!$A$11:$M$146,5,FALSE)-AH54</f>
        <v>821</v>
      </c>
      <c r="AQ54" s="72">
        <f>VLOOKUP(AA54,'FY 2018 TABLE 15'!$A$11:$M$146,12,FALSE)-AI54</f>
        <v>5020901.1612520739</v>
      </c>
      <c r="AR54" s="73">
        <f>VLOOKUP(AA54,'FY 2018 TABLE 15'!$A$11:$M$146,13,FALSE)-AJ54</f>
        <v>897</v>
      </c>
    </row>
    <row r="55" spans="1:44" ht="15.75" x14ac:dyDescent="0.25">
      <c r="A55" s="146" t="s">
        <v>279</v>
      </c>
      <c r="B55" s="255"/>
      <c r="C55" s="255"/>
      <c r="D55" s="255"/>
      <c r="E55" s="266"/>
      <c r="F55" s="4" t="e">
        <f>H18-F35-F39-F51</f>
        <v>#N/A</v>
      </c>
      <c r="G55" s="267"/>
      <c r="H55" s="265"/>
      <c r="I55" s="65"/>
      <c r="J55" s="22"/>
      <c r="K55" s="17"/>
      <c r="L55" s="17"/>
      <c r="M55" s="17"/>
      <c r="N55" s="17"/>
      <c r="O55" s="17"/>
      <c r="P55" s="17"/>
      <c r="Q55" s="17"/>
      <c r="R55" s="17"/>
      <c r="S55" s="17"/>
      <c r="T55" s="17"/>
      <c r="U55" s="17"/>
      <c r="V55" s="17"/>
      <c r="W55" s="17"/>
      <c r="X55" s="17"/>
      <c r="Y55" s="17"/>
      <c r="Z55" s="17"/>
      <c r="AA55" s="236">
        <v>55</v>
      </c>
      <c r="AB55" s="237" t="s">
        <v>199</v>
      </c>
      <c r="AC55" s="35">
        <v>9205591.0257549379</v>
      </c>
      <c r="AD55" s="35">
        <v>5957</v>
      </c>
      <c r="AE55" s="35">
        <v>1845031.41</v>
      </c>
      <c r="AF55" s="35">
        <v>1194</v>
      </c>
      <c r="AG55" s="35">
        <v>3024319.9899999984</v>
      </c>
      <c r="AH55" s="35">
        <v>1957</v>
      </c>
      <c r="AI55" s="35">
        <v>15876594.505754936</v>
      </c>
      <c r="AJ55" s="35">
        <v>10275</v>
      </c>
      <c r="AK55" s="72">
        <f>VLOOKUP(AA55,'FY 2018 TABLE 15'!$A$11:$M$146,6,FALSE)-AC55</f>
        <v>129836.03064560145</v>
      </c>
      <c r="AL55" s="72">
        <f>VLOOKUP(AA55,'FY 2018 TABLE 15'!$A$11:$M$146,7,FALSE)-AD55</f>
        <v>244</v>
      </c>
      <c r="AM55" s="72">
        <f>VLOOKUP(AA55,'FY 2018 TABLE 15'!$A$11:$M$146,10,FALSE)-AE55</f>
        <v>-123550.83000000031</v>
      </c>
      <c r="AN55" s="72">
        <f>VLOOKUP(AA55,'FY 2018 TABLE 15'!$A$11:$M$146,11,FALSE)-AF55</f>
        <v>-50</v>
      </c>
      <c r="AO55" s="72">
        <f>VLOOKUP(AA55,'FY 2018 TABLE 15'!$A$11:$M$146,4,FALSE)-AG55</f>
        <v>350662.2200000044</v>
      </c>
      <c r="AP55" s="72">
        <f>VLOOKUP(AA55,'FY 2018 TABLE 15'!$A$11:$M$146,5,FALSE)-AH55</f>
        <v>285</v>
      </c>
      <c r="AQ55" s="72">
        <f>VLOOKUP(AA55,'FY 2018 TABLE 15'!$A$11:$M$146,12,FALSE)-AI55</f>
        <v>232782.7006456051</v>
      </c>
      <c r="AR55" s="73">
        <f>VLOOKUP(AA55,'FY 2018 TABLE 15'!$A$11:$M$146,13,FALSE)-AJ55</f>
        <v>426</v>
      </c>
    </row>
    <row r="56" spans="1:44" ht="6.95" customHeight="1" thickBot="1" x14ac:dyDescent="0.3">
      <c r="A56" s="264"/>
      <c r="B56" s="255"/>
      <c r="C56" s="255"/>
      <c r="D56" s="255"/>
      <c r="E56" s="255"/>
      <c r="F56" s="269"/>
      <c r="G56" s="255"/>
      <c r="H56" s="270"/>
      <c r="I56" s="65"/>
      <c r="J56" s="22"/>
      <c r="K56" s="17"/>
      <c r="L56" s="17"/>
      <c r="M56" s="17"/>
      <c r="N56" s="17"/>
      <c r="O56" s="17"/>
      <c r="P56" s="17"/>
      <c r="Q56" s="17"/>
      <c r="R56" s="17"/>
      <c r="S56" s="17"/>
      <c r="T56" s="17"/>
      <c r="U56" s="17"/>
      <c r="V56" s="17"/>
      <c r="W56" s="17"/>
      <c r="X56" s="17"/>
      <c r="Y56" s="17"/>
      <c r="Z56" s="17"/>
      <c r="AA56" s="236">
        <v>56</v>
      </c>
      <c r="AB56" s="237" t="s">
        <v>200</v>
      </c>
      <c r="AC56" s="35">
        <v>7578059.9891184438</v>
      </c>
      <c r="AD56" s="35">
        <v>4366</v>
      </c>
      <c r="AE56" s="35">
        <v>1404993.7499999998</v>
      </c>
      <c r="AF56" s="35">
        <v>810</v>
      </c>
      <c r="AG56" s="35">
        <v>9190317.8599999994</v>
      </c>
      <c r="AH56" s="35">
        <v>5295</v>
      </c>
      <c r="AI56" s="35">
        <v>20334864.719118442</v>
      </c>
      <c r="AJ56" s="35">
        <v>11716</v>
      </c>
      <c r="AK56" s="72">
        <f>VLOOKUP(AA56,'FY 2018 TABLE 15'!$A$11:$M$146,6,FALSE)-AC56</f>
        <v>305495.27631845046</v>
      </c>
      <c r="AL56" s="72">
        <f>VLOOKUP(AA56,'FY 2018 TABLE 15'!$A$11:$M$146,7,FALSE)-AD56</f>
        <v>211</v>
      </c>
      <c r="AM56" s="72">
        <f>VLOOKUP(AA56,'FY 2018 TABLE 15'!$A$11:$M$146,10,FALSE)-AE56</f>
        <v>21905.820000000298</v>
      </c>
      <c r="AN56" s="72">
        <f>VLOOKUP(AA56,'FY 2018 TABLE 15'!$A$11:$M$146,11,FALSE)-AF56</f>
        <v>18</v>
      </c>
      <c r="AO56" s="72">
        <f>VLOOKUP(AA56,'FY 2018 TABLE 15'!$A$11:$M$146,4,FALSE)-AG56</f>
        <v>665927.10999999754</v>
      </c>
      <c r="AP56" s="72">
        <f>VLOOKUP(AA56,'FY 2018 TABLE 15'!$A$11:$M$146,5,FALSE)-AH56</f>
        <v>427</v>
      </c>
      <c r="AQ56" s="72">
        <f>VLOOKUP(AA56,'FY 2018 TABLE 15'!$A$11:$M$146,12,FALSE)-AI56</f>
        <v>863803.22631844878</v>
      </c>
      <c r="AR56" s="73">
        <f>VLOOKUP(AA56,'FY 2018 TABLE 15'!$A$11:$M$146,13,FALSE)-AJ56</f>
        <v>591</v>
      </c>
    </row>
    <row r="57" spans="1:44" ht="16.5" thickBot="1" x14ac:dyDescent="0.3">
      <c r="A57" s="152" t="s">
        <v>137</v>
      </c>
      <c r="B57" s="112"/>
      <c r="C57" s="255"/>
      <c r="D57" s="255"/>
      <c r="E57" s="255"/>
      <c r="F57" s="255"/>
      <c r="G57" s="266"/>
      <c r="H57" s="145" t="e">
        <f>ROUND(F55/$F$63,0)</f>
        <v>#N/A</v>
      </c>
      <c r="I57" s="65" t="e">
        <f>VLOOKUP($A$5, 'FY 2018 TABLE 15'!A11:M146, 5, FALSE)</f>
        <v>#N/A</v>
      </c>
      <c r="J57" s="22" t="e">
        <f>IF(H57=I57, "OK", "???")</f>
        <v>#N/A</v>
      </c>
      <c r="K57" s="17"/>
      <c r="L57" s="17"/>
      <c r="M57" s="17"/>
      <c r="N57" s="17"/>
      <c r="O57" s="17"/>
      <c r="P57" s="17"/>
      <c r="Q57" s="17"/>
      <c r="R57" s="17"/>
      <c r="S57" s="17"/>
      <c r="T57" s="17"/>
      <c r="U57" s="17"/>
      <c r="V57" s="17"/>
      <c r="W57" s="17"/>
      <c r="X57" s="17"/>
      <c r="Y57" s="17"/>
      <c r="Z57" s="17"/>
      <c r="AA57" s="236">
        <v>57</v>
      </c>
      <c r="AB57" s="237" t="s">
        <v>201</v>
      </c>
      <c r="AC57" s="35">
        <v>4255762.3710180055</v>
      </c>
      <c r="AD57" s="35">
        <v>3943</v>
      </c>
      <c r="AE57" s="35">
        <v>949361.75999999989</v>
      </c>
      <c r="AF57" s="35">
        <v>880</v>
      </c>
      <c r="AG57" s="35">
        <v>6966117.0699999984</v>
      </c>
      <c r="AH57" s="35">
        <v>6455</v>
      </c>
      <c r="AI57" s="35">
        <v>13390439.521018004</v>
      </c>
      <c r="AJ57" s="35">
        <v>12407</v>
      </c>
      <c r="AK57" s="72">
        <f>VLOOKUP(AA57,'FY 2018 TABLE 15'!$A$11:$M$146,6,FALSE)-AC57</f>
        <v>94417.997685789131</v>
      </c>
      <c r="AL57" s="72">
        <f>VLOOKUP(AA57,'FY 2018 TABLE 15'!$A$11:$M$146,7,FALSE)-AD57</f>
        <v>69</v>
      </c>
      <c r="AM57" s="72">
        <f>VLOOKUP(AA57,'FY 2018 TABLE 15'!$A$11:$M$146,10,FALSE)-AE57</f>
        <v>-166765.54999999993</v>
      </c>
      <c r="AN57" s="72">
        <f>VLOOKUP(AA57,'FY 2018 TABLE 15'!$A$11:$M$146,11,FALSE)-AF57</f>
        <v>-158</v>
      </c>
      <c r="AO57" s="72">
        <f>VLOOKUP(AA57,'FY 2018 TABLE 15'!$A$11:$M$146,4,FALSE)-AG57</f>
        <v>706957.07000000309</v>
      </c>
      <c r="AP57" s="72">
        <f>VLOOKUP(AA57,'FY 2018 TABLE 15'!$A$11:$M$146,5,FALSE)-AH57</f>
        <v>622</v>
      </c>
      <c r="AQ57" s="72">
        <f>VLOOKUP(AA57,'FY 2018 TABLE 15'!$A$11:$M$146,12,FALSE)-AI57</f>
        <v>549008.81768579222</v>
      </c>
      <c r="AR57" s="73">
        <f>VLOOKUP(AA57,'FY 2018 TABLE 15'!$A$11:$M$146,13,FALSE)-AJ57</f>
        <v>450</v>
      </c>
    </row>
    <row r="58" spans="1:44" ht="21.95" customHeight="1" x14ac:dyDescent="0.25">
      <c r="A58" s="264"/>
      <c r="B58" s="255"/>
      <c r="C58" s="255"/>
      <c r="D58" s="255"/>
      <c r="E58" s="255"/>
      <c r="F58" s="271"/>
      <c r="G58" s="255"/>
      <c r="H58" s="272"/>
      <c r="I58" s="65"/>
      <c r="J58" s="22"/>
      <c r="K58" s="17"/>
      <c r="L58" s="17"/>
      <c r="M58" s="17"/>
      <c r="N58" s="17"/>
      <c r="O58" s="17"/>
      <c r="P58" s="17"/>
      <c r="Q58" s="17"/>
      <c r="R58" s="17"/>
      <c r="S58" s="17"/>
      <c r="T58" s="17"/>
      <c r="U58" s="17"/>
      <c r="V58" s="17"/>
      <c r="W58" s="17"/>
      <c r="X58" s="17"/>
      <c r="Y58" s="17"/>
      <c r="Z58" s="17"/>
      <c r="AA58" s="236">
        <v>58</v>
      </c>
      <c r="AB58" s="237" t="s">
        <v>202</v>
      </c>
      <c r="AC58" s="35">
        <v>21476935.864300448</v>
      </c>
      <c r="AD58" s="35">
        <v>4909</v>
      </c>
      <c r="AE58" s="35">
        <v>5188627.2500000009</v>
      </c>
      <c r="AF58" s="35">
        <v>1186</v>
      </c>
      <c r="AG58" s="35">
        <v>13494053.509999998</v>
      </c>
      <c r="AH58" s="35">
        <v>3084</v>
      </c>
      <c r="AI58" s="35">
        <v>44766896.864300445</v>
      </c>
      <c r="AJ58" s="35">
        <v>10232</v>
      </c>
      <c r="AK58" s="72">
        <f>VLOOKUP(AA58,'FY 2018 TABLE 15'!$A$11:$M$146,6,FALSE)-AC58</f>
        <v>283871.94278117269</v>
      </c>
      <c r="AL58" s="72">
        <f>VLOOKUP(AA58,'FY 2018 TABLE 15'!$A$11:$M$146,7,FALSE)-AD58</f>
        <v>171</v>
      </c>
      <c r="AM58" s="72">
        <f>VLOOKUP(AA58,'FY 2018 TABLE 15'!$A$11:$M$146,10,FALSE)-AE58</f>
        <v>-344342.71000000089</v>
      </c>
      <c r="AN58" s="72">
        <f>VLOOKUP(AA58,'FY 2018 TABLE 15'!$A$11:$M$146,11,FALSE)-AF58</f>
        <v>-55</v>
      </c>
      <c r="AO58" s="72">
        <f>VLOOKUP(AA58,'FY 2018 TABLE 15'!$A$11:$M$146,4,FALSE)-AG58</f>
        <v>3502647.2400000058</v>
      </c>
      <c r="AP58" s="72">
        <f>VLOOKUP(AA58,'FY 2018 TABLE 15'!$A$11:$M$146,5,FALSE)-AH58</f>
        <v>884</v>
      </c>
      <c r="AQ58" s="72">
        <f>VLOOKUP(AA58,'FY 2018 TABLE 15'!$A$11:$M$146,12,FALSE)-AI58</f>
        <v>3225269.5527811795</v>
      </c>
      <c r="AR58" s="73">
        <f>VLOOKUP(AA58,'FY 2018 TABLE 15'!$A$11:$M$146,13,FALSE)-AJ58</f>
        <v>972</v>
      </c>
    </row>
    <row r="59" spans="1:44" ht="15.75" x14ac:dyDescent="0.25">
      <c r="A59" s="146" t="s">
        <v>6</v>
      </c>
      <c r="B59" s="255"/>
      <c r="C59" s="255"/>
      <c r="D59" s="255"/>
      <c r="E59" s="266"/>
      <c r="F59" s="4" t="e">
        <f>H18</f>
        <v>#N/A</v>
      </c>
      <c r="G59" s="267"/>
      <c r="H59" s="265"/>
      <c r="I59" s="65"/>
      <c r="J59" s="22"/>
      <c r="K59" s="17"/>
      <c r="L59" s="17"/>
      <c r="M59" s="17"/>
      <c r="N59" s="17"/>
      <c r="O59" s="17"/>
      <c r="P59" s="17"/>
      <c r="Q59" s="17"/>
      <c r="R59" s="17"/>
      <c r="S59" s="17"/>
      <c r="T59" s="17"/>
      <c r="U59" s="17"/>
      <c r="V59" s="17"/>
      <c r="W59" s="17"/>
      <c r="X59" s="17"/>
      <c r="Y59" s="17"/>
      <c r="Z59" s="17"/>
      <c r="AA59" s="236">
        <v>59</v>
      </c>
      <c r="AB59" s="237" t="s">
        <v>203</v>
      </c>
      <c r="AC59" s="35">
        <v>3386532.8935053516</v>
      </c>
      <c r="AD59" s="35">
        <v>2787</v>
      </c>
      <c r="AE59" s="35">
        <v>1102078.19</v>
      </c>
      <c r="AF59" s="35">
        <v>907</v>
      </c>
      <c r="AG59" s="35">
        <v>7979626.0299999993</v>
      </c>
      <c r="AH59" s="35">
        <v>6566</v>
      </c>
      <c r="AI59" s="35">
        <v>13755435.673505351</v>
      </c>
      <c r="AJ59" s="35">
        <v>11319</v>
      </c>
      <c r="AK59" s="72">
        <f>VLOOKUP(AA59,'FY 2018 TABLE 15'!$A$11:$M$146,6,FALSE)-AC59</f>
        <v>239629.80127427215</v>
      </c>
      <c r="AL59" s="72">
        <f>VLOOKUP(AA59,'FY 2018 TABLE 15'!$A$11:$M$146,7,FALSE)-AD59</f>
        <v>108</v>
      </c>
      <c r="AM59" s="72">
        <f>VLOOKUP(AA59,'FY 2018 TABLE 15'!$A$11:$M$146,10,FALSE)-AE59</f>
        <v>-82.859999999869615</v>
      </c>
      <c r="AN59" s="72">
        <f>VLOOKUP(AA59,'FY 2018 TABLE 15'!$A$11:$M$146,11,FALSE)-AF59</f>
        <v>-27</v>
      </c>
      <c r="AO59" s="72">
        <f>VLOOKUP(AA59,'FY 2018 TABLE 15'!$A$11:$M$146,4,FALSE)-AG59</f>
        <v>444738.25999999419</v>
      </c>
      <c r="AP59" s="72">
        <f>VLOOKUP(AA59,'FY 2018 TABLE 15'!$A$11:$M$146,5,FALSE)-AH59</f>
        <v>160</v>
      </c>
      <c r="AQ59" s="72">
        <f>VLOOKUP(AA59,'FY 2018 TABLE 15'!$A$11:$M$146,12,FALSE)-AI59</f>
        <v>642183.30127426609</v>
      </c>
      <c r="AR59" s="73">
        <f>VLOOKUP(AA59,'FY 2018 TABLE 15'!$A$11:$M$146,13,FALSE)-AJ59</f>
        <v>176</v>
      </c>
    </row>
    <row r="60" spans="1:44" ht="6.95" customHeight="1" thickBot="1" x14ac:dyDescent="0.3">
      <c r="A60" s="264"/>
      <c r="B60" s="255"/>
      <c r="C60" s="255"/>
      <c r="D60" s="255"/>
      <c r="E60" s="255"/>
      <c r="F60" s="269"/>
      <c r="G60" s="255"/>
      <c r="H60" s="270"/>
      <c r="I60" s="65"/>
      <c r="J60" s="22"/>
      <c r="K60" s="17"/>
      <c r="L60" s="17"/>
      <c r="M60" s="17"/>
      <c r="N60" s="17"/>
      <c r="O60" s="17"/>
      <c r="P60" s="17"/>
      <c r="Q60" s="17"/>
      <c r="R60" s="17"/>
      <c r="S60" s="17"/>
      <c r="T60" s="17"/>
      <c r="U60" s="17"/>
      <c r="V60" s="17"/>
      <c r="W60" s="17"/>
      <c r="X60" s="17"/>
      <c r="Y60" s="17"/>
      <c r="Z60" s="17"/>
      <c r="AA60" s="236">
        <v>60</v>
      </c>
      <c r="AB60" s="237" t="s">
        <v>204</v>
      </c>
      <c r="AC60" s="35">
        <v>40775336.820523985</v>
      </c>
      <c r="AD60" s="35">
        <v>4202</v>
      </c>
      <c r="AE60" s="35">
        <v>7684888.9400000004</v>
      </c>
      <c r="AF60" s="35">
        <v>792</v>
      </c>
      <c r="AG60" s="35">
        <v>49981636.530000001</v>
      </c>
      <c r="AH60" s="35">
        <v>5150</v>
      </c>
      <c r="AI60" s="35">
        <v>109740361.85052399</v>
      </c>
      <c r="AJ60" s="35">
        <v>11308</v>
      </c>
      <c r="AK60" s="72">
        <f>VLOOKUP(AA60,'FY 2018 TABLE 15'!$A$11:$M$146,6,FALSE)-AC60</f>
        <v>2875131.5597732291</v>
      </c>
      <c r="AL60" s="72">
        <f>VLOOKUP(AA60,'FY 2018 TABLE 15'!$A$11:$M$146,7,FALSE)-AD60</f>
        <v>225</v>
      </c>
      <c r="AM60" s="72">
        <f>VLOOKUP(AA60,'FY 2018 TABLE 15'!$A$11:$M$146,10,FALSE)-AE60</f>
        <v>-1062426.1100000003</v>
      </c>
      <c r="AN60" s="72">
        <f>VLOOKUP(AA60,'FY 2018 TABLE 15'!$A$11:$M$146,11,FALSE)-AF60</f>
        <v>-120</v>
      </c>
      <c r="AO60" s="72">
        <f>VLOOKUP(AA60,'FY 2018 TABLE 15'!$A$11:$M$146,4,FALSE)-AG60</f>
        <v>-745316.40000003576</v>
      </c>
      <c r="AP60" s="72">
        <f>VLOOKUP(AA60,'FY 2018 TABLE 15'!$A$11:$M$146,5,FALSE)-AH60</f>
        <v>-156</v>
      </c>
      <c r="AQ60" s="72">
        <f>VLOOKUP(AA60,'FY 2018 TABLE 15'!$A$11:$M$146,12,FALSE)-AI60</f>
        <v>724724.20977318287</v>
      </c>
      <c r="AR60" s="73">
        <f>VLOOKUP(AA60,'FY 2018 TABLE 15'!$A$11:$M$146,13,FALSE)-AJ60</f>
        <v>-104</v>
      </c>
    </row>
    <row r="61" spans="1:44" ht="16.5" thickBot="1" x14ac:dyDescent="0.3">
      <c r="A61" s="152" t="s">
        <v>7</v>
      </c>
      <c r="B61" s="112"/>
      <c r="C61" s="255"/>
      <c r="D61" s="255"/>
      <c r="E61" s="255"/>
      <c r="F61" s="255"/>
      <c r="G61" s="266"/>
      <c r="H61" s="145" t="e">
        <f>ROUND(F59/$F$63,0)</f>
        <v>#N/A</v>
      </c>
      <c r="I61" s="65" t="e">
        <f>VLOOKUP($A$5, 'FY 2018 TABLE 15'!A11:M146, 13, FALSE)</f>
        <v>#N/A</v>
      </c>
      <c r="J61" s="22" t="e">
        <f>IF(H61=I61, "OK", "???")</f>
        <v>#N/A</v>
      </c>
      <c r="K61" s="17"/>
      <c r="L61" s="17"/>
      <c r="M61" s="17"/>
      <c r="N61" s="17"/>
      <c r="O61" s="17"/>
      <c r="P61" s="17"/>
      <c r="Q61" s="17"/>
      <c r="R61" s="17"/>
      <c r="S61" s="17"/>
      <c r="T61" s="17"/>
      <c r="U61" s="17"/>
      <c r="V61" s="17"/>
      <c r="W61" s="17"/>
      <c r="X61" s="17"/>
      <c r="Y61" s="17"/>
      <c r="Z61" s="17"/>
      <c r="AA61" s="236">
        <v>62</v>
      </c>
      <c r="AB61" s="237" t="s">
        <v>205</v>
      </c>
      <c r="AC61" s="35">
        <v>6434108.6880237451</v>
      </c>
      <c r="AD61" s="35">
        <v>3424</v>
      </c>
      <c r="AE61" s="35">
        <v>1658011.0599999998</v>
      </c>
      <c r="AF61" s="35">
        <v>882</v>
      </c>
      <c r="AG61" s="35">
        <v>15900407.839999998</v>
      </c>
      <c r="AH61" s="35">
        <v>8462</v>
      </c>
      <c r="AI61" s="35">
        <v>26140423.488023743</v>
      </c>
      <c r="AJ61" s="35">
        <v>13912</v>
      </c>
      <c r="AK61" s="72">
        <f>VLOOKUP(AA61,'FY 2018 TABLE 15'!$A$11:$M$146,6,FALSE)-AC61</f>
        <v>-7648.4003311507404</v>
      </c>
      <c r="AL61" s="72">
        <f>VLOOKUP(AA61,'FY 2018 TABLE 15'!$A$11:$M$146,7,FALSE)-AD61</f>
        <v>36</v>
      </c>
      <c r="AM61" s="72">
        <f>VLOOKUP(AA61,'FY 2018 TABLE 15'!$A$11:$M$146,10,FALSE)-AE61</f>
        <v>-53578.919999999925</v>
      </c>
      <c r="AN61" s="72">
        <f>VLOOKUP(AA61,'FY 2018 TABLE 15'!$A$11:$M$146,11,FALSE)-AF61</f>
        <v>-18</v>
      </c>
      <c r="AO61" s="72">
        <f>VLOOKUP(AA61,'FY 2018 TABLE 15'!$A$11:$M$146,4,FALSE)-AG61</f>
        <v>701488.12000000104</v>
      </c>
      <c r="AP61" s="72">
        <f>VLOOKUP(AA61,'FY 2018 TABLE 15'!$A$11:$M$146,5,FALSE)-AH61</f>
        <v>476</v>
      </c>
      <c r="AQ61" s="72">
        <f>VLOOKUP(AA61,'FY 2018 TABLE 15'!$A$11:$M$146,12,FALSE)-AI61</f>
        <v>543685.5396688506</v>
      </c>
      <c r="AR61" s="73">
        <f>VLOOKUP(AA61,'FY 2018 TABLE 15'!$A$11:$M$146,13,FALSE)-AJ61</f>
        <v>454</v>
      </c>
    </row>
    <row r="62" spans="1:44" ht="21.95" customHeight="1" x14ac:dyDescent="0.25">
      <c r="A62" s="264"/>
      <c r="B62" s="255"/>
      <c r="C62" s="255"/>
      <c r="D62" s="255"/>
      <c r="E62" s="255"/>
      <c r="F62" s="271"/>
      <c r="G62" s="255"/>
      <c r="H62" s="272"/>
      <c r="I62" s="65"/>
      <c r="J62" s="22"/>
      <c r="K62" s="17"/>
      <c r="L62" s="17"/>
      <c r="M62" s="17"/>
      <c r="N62" s="17"/>
      <c r="O62" s="17"/>
      <c r="P62" s="17"/>
      <c r="Q62" s="17"/>
      <c r="R62" s="17"/>
      <c r="S62" s="17"/>
      <c r="T62" s="17"/>
      <c r="U62" s="17"/>
      <c r="V62" s="17"/>
      <c r="W62" s="17"/>
      <c r="X62" s="17"/>
      <c r="Y62" s="17"/>
      <c r="Z62" s="17"/>
      <c r="AA62" s="236">
        <v>63</v>
      </c>
      <c r="AB62" s="237" t="s">
        <v>206</v>
      </c>
      <c r="AC62" s="35">
        <v>11918455.784124693</v>
      </c>
      <c r="AD62" s="35">
        <v>3786</v>
      </c>
      <c r="AE62" s="35">
        <v>1292537.0099999998</v>
      </c>
      <c r="AF62" s="35">
        <v>411</v>
      </c>
      <c r="AG62" s="35">
        <v>13747650.560000004</v>
      </c>
      <c r="AH62" s="35">
        <v>4367</v>
      </c>
      <c r="AI62" s="35">
        <v>30261013.834124696</v>
      </c>
      <c r="AJ62" s="35">
        <v>9613</v>
      </c>
      <c r="AK62" s="72">
        <f>VLOOKUP(AA62,'FY 2018 TABLE 15'!$A$11:$M$146,6,FALSE)-AC62</f>
        <v>1323858.6628964171</v>
      </c>
      <c r="AL62" s="72">
        <f>VLOOKUP(AA62,'FY 2018 TABLE 15'!$A$11:$M$146,7,FALSE)-AD62</f>
        <v>328</v>
      </c>
      <c r="AM62" s="72">
        <f>VLOOKUP(AA62,'FY 2018 TABLE 15'!$A$11:$M$146,10,FALSE)-AE62</f>
        <v>100615.30000000005</v>
      </c>
      <c r="AN62" s="72">
        <f>VLOOKUP(AA62,'FY 2018 TABLE 15'!$A$11:$M$146,11,FALSE)-AF62</f>
        <v>22</v>
      </c>
      <c r="AO62" s="72">
        <f>VLOOKUP(AA62,'FY 2018 TABLE 15'!$A$11:$M$146,4,FALSE)-AG62</f>
        <v>489181.51999999397</v>
      </c>
      <c r="AP62" s="72">
        <f>VLOOKUP(AA62,'FY 2018 TABLE 15'!$A$11:$M$146,5,FALSE)-AH62</f>
        <v>56</v>
      </c>
      <c r="AQ62" s="72">
        <f>VLOOKUP(AA62,'FY 2018 TABLE 15'!$A$11:$M$146,12,FALSE)-AI62</f>
        <v>1816211.5628964119</v>
      </c>
      <c r="AR62" s="73">
        <f>VLOOKUP(AA62,'FY 2018 TABLE 15'!$A$11:$M$146,13,FALSE)-AJ62</f>
        <v>353</v>
      </c>
    </row>
    <row r="63" spans="1:44" ht="15.75" x14ac:dyDescent="0.25">
      <c r="A63" s="254" t="s">
        <v>634</v>
      </c>
      <c r="B63" s="255"/>
      <c r="C63" s="255"/>
      <c r="D63" s="255"/>
      <c r="E63" s="266"/>
      <c r="F63" s="256" t="e">
        <f>VLOOKUP($A$5,'Source Data'!A2:Q137,17, FALSE)</f>
        <v>#N/A</v>
      </c>
      <c r="G63" s="267"/>
      <c r="H63" s="131"/>
      <c r="I63" s="65"/>
      <c r="J63" s="22"/>
      <c r="K63" s="17"/>
      <c r="L63" s="17"/>
      <c r="M63" s="17"/>
      <c r="N63" s="17"/>
      <c r="O63" s="17"/>
      <c r="P63" s="17"/>
      <c r="Q63" s="17"/>
      <c r="R63" s="17"/>
      <c r="S63" s="17"/>
      <c r="T63" s="17"/>
      <c r="U63" s="17"/>
      <c r="V63" s="17"/>
      <c r="W63" s="17"/>
      <c r="X63" s="17"/>
      <c r="Y63" s="17"/>
      <c r="Z63" s="17"/>
      <c r="AA63" s="236">
        <v>65</v>
      </c>
      <c r="AB63" s="237" t="s">
        <v>207</v>
      </c>
      <c r="AC63" s="35">
        <v>7570787.0699999994</v>
      </c>
      <c r="AD63" s="35">
        <v>4621</v>
      </c>
      <c r="AE63" s="35">
        <v>2274538.4000000004</v>
      </c>
      <c r="AF63" s="35">
        <v>1388</v>
      </c>
      <c r="AG63" s="35">
        <v>7606921.3699999992</v>
      </c>
      <c r="AH63" s="35">
        <v>4644</v>
      </c>
      <c r="AI63" s="35">
        <v>19161249.960000001</v>
      </c>
      <c r="AJ63" s="35">
        <v>11697</v>
      </c>
      <c r="AK63" s="72">
        <f>VLOOKUP(AA63,'FY 2018 TABLE 15'!$A$11:$M$146,6,FALSE)-AC63</f>
        <v>26902.320000001229</v>
      </c>
      <c r="AL63" s="72">
        <f>VLOOKUP(AA63,'FY 2018 TABLE 15'!$A$11:$M$146,7,FALSE)-AD63</f>
        <v>99</v>
      </c>
      <c r="AM63" s="72">
        <f>VLOOKUP(AA63,'FY 2018 TABLE 15'!$A$11:$M$146,10,FALSE)-AE63</f>
        <v>-74122.960000000428</v>
      </c>
      <c r="AN63" s="72">
        <f>VLOOKUP(AA63,'FY 2018 TABLE 15'!$A$11:$M$146,11,FALSE)-AF63</f>
        <v>-21</v>
      </c>
      <c r="AO63" s="72">
        <f>VLOOKUP(AA63,'FY 2018 TABLE 15'!$A$11:$M$146,4,FALSE)-AG63</f>
        <v>950884.92000000551</v>
      </c>
      <c r="AP63" s="72">
        <f>VLOOKUP(AA63,'FY 2018 TABLE 15'!$A$11:$M$146,5,FALSE)-AH63</f>
        <v>673</v>
      </c>
      <c r="AQ63" s="72">
        <f>VLOOKUP(AA63,'FY 2018 TABLE 15'!$A$11:$M$146,12,FALSE)-AI63</f>
        <v>868784.50000000373</v>
      </c>
      <c r="AR63" s="73">
        <f>VLOOKUP(AA63,'FY 2018 TABLE 15'!$A$11:$M$146,13,FALSE)-AJ63</f>
        <v>748</v>
      </c>
    </row>
    <row r="64" spans="1:44" ht="16.5" thickBot="1" x14ac:dyDescent="0.3">
      <c r="A64" s="273"/>
      <c r="B64" s="274"/>
      <c r="C64" s="274"/>
      <c r="D64" s="274"/>
      <c r="E64" s="274"/>
      <c r="F64" s="275"/>
      <c r="G64" s="274"/>
      <c r="H64" s="276"/>
      <c r="I64" s="65"/>
      <c r="J64" s="22"/>
      <c r="K64" s="17"/>
      <c r="L64" s="17"/>
      <c r="M64" s="17"/>
      <c r="N64" s="17"/>
      <c r="O64" s="17"/>
      <c r="P64" s="17"/>
      <c r="Q64" s="17"/>
      <c r="R64" s="17"/>
      <c r="S64" s="17"/>
      <c r="T64" s="17"/>
      <c r="U64" s="17"/>
      <c r="V64" s="17"/>
      <c r="W64" s="17"/>
      <c r="X64" s="17"/>
      <c r="Y64" s="17"/>
      <c r="Z64" s="17"/>
      <c r="AA64" s="236">
        <v>66</v>
      </c>
      <c r="AB64" s="237" t="s">
        <v>208</v>
      </c>
      <c r="AC64" s="35">
        <v>2699809.8351205224</v>
      </c>
      <c r="AD64" s="35">
        <v>2062</v>
      </c>
      <c r="AE64" s="35">
        <v>1226668.54</v>
      </c>
      <c r="AF64" s="35">
        <v>937</v>
      </c>
      <c r="AG64" s="35">
        <v>11298387.91</v>
      </c>
      <c r="AH64" s="35">
        <v>8631</v>
      </c>
      <c r="AI64" s="35">
        <v>16720121.085120523</v>
      </c>
      <c r="AJ64" s="35">
        <v>12773</v>
      </c>
      <c r="AK64" s="72">
        <f>VLOOKUP(AA64,'FY 2018 TABLE 15'!$A$11:$M$146,6,FALSE)-AC64</f>
        <v>17161.369498841465</v>
      </c>
      <c r="AL64" s="72">
        <f>VLOOKUP(AA64,'FY 2018 TABLE 15'!$A$11:$M$146,7,FALSE)-AD64</f>
        <v>14</v>
      </c>
      <c r="AM64" s="72">
        <f>VLOOKUP(AA64,'FY 2018 TABLE 15'!$A$11:$M$146,10,FALSE)-AE64</f>
        <v>257557.75999999978</v>
      </c>
      <c r="AN64" s="72">
        <f>VLOOKUP(AA64,'FY 2018 TABLE 15'!$A$11:$M$146,11,FALSE)-AF64</f>
        <v>197</v>
      </c>
      <c r="AO64" s="72">
        <f>VLOOKUP(AA64,'FY 2018 TABLE 15'!$A$11:$M$146,4,FALSE)-AG64</f>
        <v>707621.23999999836</v>
      </c>
      <c r="AP64" s="72">
        <f>VLOOKUP(AA64,'FY 2018 TABLE 15'!$A$11:$M$146,5,FALSE)-AH64</f>
        <v>543</v>
      </c>
      <c r="AQ64" s="72">
        <f>VLOOKUP(AA64,'FY 2018 TABLE 15'!$A$11:$M$146,12,FALSE)-AI64</f>
        <v>884931.10949883796</v>
      </c>
      <c r="AR64" s="73">
        <f>VLOOKUP(AA64,'FY 2018 TABLE 15'!$A$11:$M$146,13,FALSE)-AJ64</f>
        <v>679</v>
      </c>
    </row>
    <row r="65" spans="1:44" ht="15.75" hidden="1" x14ac:dyDescent="0.25">
      <c r="A65" s="277"/>
      <c r="B65" s="277"/>
      <c r="C65" s="277"/>
      <c r="D65" s="277"/>
      <c r="E65" s="277"/>
      <c r="F65" s="277"/>
      <c r="G65" s="277"/>
      <c r="H65" s="278"/>
      <c r="I65" s="65"/>
      <c r="J65" s="22"/>
      <c r="K65" s="17"/>
      <c r="L65" s="17"/>
      <c r="M65" s="17"/>
      <c r="N65" s="17"/>
      <c r="O65" s="17"/>
      <c r="P65" s="17"/>
      <c r="Q65" s="17"/>
      <c r="R65" s="17"/>
      <c r="S65" s="17"/>
      <c r="T65" s="17"/>
      <c r="U65" s="17"/>
      <c r="V65" s="17"/>
      <c r="W65" s="17"/>
      <c r="X65" s="17"/>
      <c r="Y65" s="17"/>
      <c r="Z65" s="17"/>
      <c r="AA65" s="236">
        <v>67</v>
      </c>
      <c r="AB65" s="237" t="s">
        <v>209</v>
      </c>
      <c r="AC65" s="35">
        <v>12916573.282729732</v>
      </c>
      <c r="AD65" s="35">
        <v>5993</v>
      </c>
      <c r="AE65" s="35">
        <v>2536767.6700000004</v>
      </c>
      <c r="AF65" s="35">
        <v>1177</v>
      </c>
      <c r="AG65" s="35">
        <v>4456018.9500000048</v>
      </c>
      <c r="AH65" s="35">
        <v>2067</v>
      </c>
      <c r="AI65" s="35">
        <v>22198143.842729736</v>
      </c>
      <c r="AJ65" s="35">
        <v>10299</v>
      </c>
      <c r="AK65" s="72">
        <f>VLOOKUP(AA65,'FY 2018 TABLE 15'!$A$11:$M$146,6,FALSE)-AC65</f>
        <v>72036.828869745135</v>
      </c>
      <c r="AL65" s="72">
        <f>VLOOKUP(AA65,'FY 2018 TABLE 15'!$A$11:$M$146,7,FALSE)-AD65</f>
        <v>351</v>
      </c>
      <c r="AM65" s="72">
        <f>VLOOKUP(AA65,'FY 2018 TABLE 15'!$A$11:$M$146,10,FALSE)-AE65</f>
        <v>312305.49999999953</v>
      </c>
      <c r="AN65" s="72">
        <f>VLOOKUP(AA65,'FY 2018 TABLE 15'!$A$11:$M$146,11,FALSE)-AF65</f>
        <v>214</v>
      </c>
      <c r="AO65" s="72">
        <f>VLOOKUP(AA65,'FY 2018 TABLE 15'!$A$11:$M$146,4,FALSE)-AG65</f>
        <v>673198.10999997519</v>
      </c>
      <c r="AP65" s="72">
        <f>VLOOKUP(AA65,'FY 2018 TABLE 15'!$A$11:$M$146,5,FALSE)-AH65</f>
        <v>438</v>
      </c>
      <c r="AQ65" s="72">
        <f>VLOOKUP(AA65,'FY 2018 TABLE 15'!$A$11:$M$146,12,FALSE)-AI65</f>
        <v>1039517.9588697217</v>
      </c>
      <c r="AR65" s="73">
        <f>VLOOKUP(AA65,'FY 2018 TABLE 15'!$A$11:$M$146,13,FALSE)-AJ65</f>
        <v>1050</v>
      </c>
    </row>
    <row r="66" spans="1:44" ht="15.75" x14ac:dyDescent="0.25">
      <c r="A66" s="336" t="s">
        <v>606</v>
      </c>
      <c r="B66" s="337"/>
      <c r="C66" s="337"/>
      <c r="D66" s="337"/>
      <c r="E66" s="337"/>
      <c r="F66" s="337"/>
      <c r="G66" s="337"/>
      <c r="H66" s="338"/>
      <c r="I66" s="65"/>
      <c r="J66" s="22"/>
      <c r="K66" s="17"/>
      <c r="L66" s="17"/>
      <c r="M66" s="17"/>
      <c r="N66" s="17"/>
      <c r="O66" s="17"/>
      <c r="P66" s="17"/>
      <c r="Q66" s="17"/>
      <c r="R66" s="17"/>
      <c r="S66" s="17"/>
      <c r="T66" s="17"/>
      <c r="U66" s="17"/>
      <c r="V66" s="17"/>
      <c r="W66" s="17"/>
      <c r="X66" s="17"/>
      <c r="Y66" s="17"/>
      <c r="Z66" s="17"/>
      <c r="AA66" s="236">
        <v>68</v>
      </c>
      <c r="AB66" s="237" t="s">
        <v>210</v>
      </c>
      <c r="AC66" s="35">
        <v>21495573.59727703</v>
      </c>
      <c r="AD66" s="35">
        <v>4252</v>
      </c>
      <c r="AE66" s="35">
        <v>5431319.8800000008</v>
      </c>
      <c r="AF66" s="35">
        <v>1074</v>
      </c>
      <c r="AG66" s="35">
        <v>20717662.559999995</v>
      </c>
      <c r="AH66" s="35">
        <v>4098</v>
      </c>
      <c r="AI66" s="35">
        <v>53172592.20727703</v>
      </c>
      <c r="AJ66" s="35">
        <v>10517</v>
      </c>
      <c r="AK66" s="72">
        <f>VLOOKUP(AA66,'FY 2018 TABLE 15'!$A$11:$M$146,6,FALSE)-AC66</f>
        <v>1474510.4715107754</v>
      </c>
      <c r="AL66" s="72">
        <f>VLOOKUP(AA66,'FY 2018 TABLE 15'!$A$11:$M$146,7,FALSE)-AD66</f>
        <v>315</v>
      </c>
      <c r="AM66" s="72">
        <f>VLOOKUP(AA66,'FY 2018 TABLE 15'!$A$11:$M$146,10,FALSE)-AE66</f>
        <v>185306.95000000019</v>
      </c>
      <c r="AN66" s="72">
        <f>VLOOKUP(AA66,'FY 2018 TABLE 15'!$A$11:$M$146,11,FALSE)-AF66</f>
        <v>43</v>
      </c>
      <c r="AO66" s="72">
        <f>VLOOKUP(AA66,'FY 2018 TABLE 15'!$A$11:$M$146,4,FALSE)-AG66</f>
        <v>-450380.93000000715</v>
      </c>
      <c r="AP66" s="72">
        <f>VLOOKUP(AA66,'FY 2018 TABLE 15'!$A$11:$M$146,5,FALSE)-AH66</f>
        <v>-68</v>
      </c>
      <c r="AQ66" s="72">
        <f>VLOOKUP(AA66,'FY 2018 TABLE 15'!$A$11:$M$146,12,FALSE)-AI66</f>
        <v>891758.90151076019</v>
      </c>
      <c r="AR66" s="73">
        <f>VLOOKUP(AA66,'FY 2018 TABLE 15'!$A$11:$M$146,13,FALSE)-AJ66</f>
        <v>233</v>
      </c>
    </row>
    <row r="67" spans="1:44" ht="175.5" customHeight="1" x14ac:dyDescent="0.25">
      <c r="A67" s="339" t="s">
        <v>632</v>
      </c>
      <c r="B67" s="340"/>
      <c r="C67" s="340"/>
      <c r="D67" s="340"/>
      <c r="E67" s="340"/>
      <c r="F67" s="340"/>
      <c r="G67" s="340"/>
      <c r="H67" s="341"/>
      <c r="I67" s="65"/>
      <c r="J67" s="22"/>
      <c r="K67" s="17"/>
      <c r="L67" s="17"/>
      <c r="M67" s="17"/>
      <c r="N67" s="17"/>
      <c r="O67" s="17"/>
      <c r="P67" s="17"/>
      <c r="Q67" s="17"/>
      <c r="R67" s="17"/>
      <c r="S67" s="17"/>
      <c r="T67" s="17"/>
      <c r="U67" s="17"/>
      <c r="V67" s="17"/>
      <c r="W67" s="17"/>
      <c r="X67" s="17"/>
      <c r="Y67" s="17"/>
      <c r="Z67" s="17"/>
      <c r="AA67" s="236">
        <v>69</v>
      </c>
      <c r="AB67" s="237" t="s">
        <v>211</v>
      </c>
      <c r="AC67" s="35">
        <v>17675786.86988746</v>
      </c>
      <c r="AD67" s="35">
        <v>5133</v>
      </c>
      <c r="AE67" s="35">
        <v>2839678.5599999996</v>
      </c>
      <c r="AF67" s="35">
        <v>825</v>
      </c>
      <c r="AG67" s="35">
        <v>10528264.629999995</v>
      </c>
      <c r="AH67" s="35">
        <v>3057</v>
      </c>
      <c r="AI67" s="35">
        <v>34798101.919887453</v>
      </c>
      <c r="AJ67" s="35">
        <v>10105</v>
      </c>
      <c r="AK67" s="72">
        <f>VLOOKUP(AA67,'FY 2018 TABLE 15'!$A$11:$M$146,6,FALSE)-AC67</f>
        <v>373076.73831105605</v>
      </c>
      <c r="AL67" s="72">
        <f>VLOOKUP(AA67,'FY 2018 TABLE 15'!$A$11:$M$146,7,FALSE)-AD67</f>
        <v>232</v>
      </c>
      <c r="AM67" s="72">
        <f>VLOOKUP(AA67,'FY 2018 TABLE 15'!$A$11:$M$146,10,FALSE)-AE67</f>
        <v>130072.31999999983</v>
      </c>
      <c r="AN67" s="72">
        <f>VLOOKUP(AA67,'FY 2018 TABLE 15'!$A$11:$M$146,11,FALSE)-AF67</f>
        <v>58</v>
      </c>
      <c r="AO67" s="72">
        <f>VLOOKUP(AA67,'FY 2018 TABLE 15'!$A$11:$M$146,4,FALSE)-AG67</f>
        <v>8417.2899999991059</v>
      </c>
      <c r="AP67" s="72">
        <f>VLOOKUP(AA67,'FY 2018 TABLE 15'!$A$11:$M$146,5,FALSE)-AH67</f>
        <v>75</v>
      </c>
      <c r="AQ67" s="72">
        <f>VLOOKUP(AA67,'FY 2018 TABLE 15'!$A$11:$M$146,12,FALSE)-AI67</f>
        <v>505060.60831105709</v>
      </c>
      <c r="AR67" s="73">
        <f>VLOOKUP(AA67,'FY 2018 TABLE 15'!$A$11:$M$146,13,FALSE)-AJ67</f>
        <v>389</v>
      </c>
    </row>
    <row r="68" spans="1:44" ht="223.5" customHeight="1" x14ac:dyDescent="0.25">
      <c r="A68" s="339" t="s">
        <v>640</v>
      </c>
      <c r="B68" s="340"/>
      <c r="C68" s="340"/>
      <c r="D68" s="340"/>
      <c r="E68" s="340"/>
      <c r="F68" s="340"/>
      <c r="G68" s="340"/>
      <c r="H68" s="341"/>
      <c r="I68" s="65"/>
      <c r="J68" s="22"/>
      <c r="K68" s="17"/>
      <c r="L68" s="17"/>
      <c r="M68" s="17"/>
      <c r="N68" s="17"/>
      <c r="O68" s="17"/>
      <c r="P68" s="17"/>
      <c r="Q68" s="17"/>
      <c r="R68" s="17"/>
      <c r="S68" s="17"/>
      <c r="T68" s="17"/>
      <c r="U68" s="17"/>
      <c r="V68" s="17"/>
      <c r="W68" s="17"/>
      <c r="X68" s="17"/>
      <c r="Y68" s="17"/>
      <c r="Z68" s="17"/>
      <c r="AA68" s="236">
        <v>70</v>
      </c>
      <c r="AB68" s="237" t="s">
        <v>212</v>
      </c>
      <c r="AC68" s="35">
        <v>15960186.230000002</v>
      </c>
      <c r="AD68" s="35">
        <v>5838</v>
      </c>
      <c r="AE68" s="35">
        <v>2615304.7599999998</v>
      </c>
      <c r="AF68" s="35">
        <v>957</v>
      </c>
      <c r="AG68" s="35">
        <v>6814090.2599999979</v>
      </c>
      <c r="AH68" s="35">
        <v>2493</v>
      </c>
      <c r="AI68" s="35">
        <v>28094476.109999999</v>
      </c>
      <c r="AJ68" s="35">
        <v>10277</v>
      </c>
      <c r="AK68" s="72">
        <f>VLOOKUP(AA68,'FY 2018 TABLE 15'!$A$11:$M$146,6,FALSE)-AC68</f>
        <v>125664.16999999806</v>
      </c>
      <c r="AL68" s="72">
        <f>VLOOKUP(AA68,'FY 2018 TABLE 15'!$A$11:$M$146,7,FALSE)-AD68</f>
        <v>240</v>
      </c>
      <c r="AM68" s="72">
        <f>VLOOKUP(AA68,'FY 2018 TABLE 15'!$A$11:$M$146,10,FALSE)-AE68</f>
        <v>-103634.23000000045</v>
      </c>
      <c r="AN68" s="72">
        <f>VLOOKUP(AA68,'FY 2018 TABLE 15'!$A$11:$M$146,11,FALSE)-AF68</f>
        <v>-8</v>
      </c>
      <c r="AO68" s="72">
        <f>VLOOKUP(AA68,'FY 2018 TABLE 15'!$A$11:$M$146,4,FALSE)-AG68</f>
        <v>-79139.290000010282</v>
      </c>
      <c r="AP68" s="72">
        <f>VLOOKUP(AA68,'FY 2018 TABLE 15'!$A$11:$M$146,5,FALSE)-AH68</f>
        <v>52</v>
      </c>
      <c r="AQ68" s="72">
        <f>VLOOKUP(AA68,'FY 2018 TABLE 15'!$A$11:$M$146,12,FALSE)-AI68</f>
        <v>-60438.690000008792</v>
      </c>
      <c r="AR68" s="73">
        <f>VLOOKUP(AA68,'FY 2018 TABLE 15'!$A$11:$M$146,13,FALSE)-AJ68</f>
        <v>316</v>
      </c>
    </row>
    <row r="69" spans="1:44" ht="57.75" customHeight="1" thickBot="1" x14ac:dyDescent="0.3">
      <c r="A69" s="342" t="s">
        <v>649</v>
      </c>
      <c r="B69" s="343"/>
      <c r="C69" s="343"/>
      <c r="D69" s="343"/>
      <c r="E69" s="343"/>
      <c r="F69" s="343"/>
      <c r="G69" s="343"/>
      <c r="H69" s="344"/>
      <c r="I69" s="65"/>
      <c r="J69" s="22"/>
      <c r="K69" s="17"/>
      <c r="L69" s="17"/>
      <c r="M69" s="17"/>
      <c r="N69" s="17"/>
      <c r="O69" s="17"/>
      <c r="P69" s="17"/>
      <c r="Q69" s="17"/>
      <c r="R69" s="17"/>
      <c r="S69" s="17"/>
      <c r="T69" s="17"/>
      <c r="U69" s="17"/>
      <c r="V69" s="17"/>
      <c r="W69" s="17"/>
      <c r="X69" s="17"/>
      <c r="Y69" s="17"/>
      <c r="Z69" s="17"/>
      <c r="AA69" s="236">
        <v>71</v>
      </c>
      <c r="AB69" s="237" t="s">
        <v>213</v>
      </c>
      <c r="AC69" s="35">
        <v>49816502.058869168</v>
      </c>
      <c r="AD69" s="35">
        <v>5489</v>
      </c>
      <c r="AE69" s="35">
        <v>8085887.3100000005</v>
      </c>
      <c r="AF69" s="35">
        <v>891</v>
      </c>
      <c r="AG69" s="35">
        <v>20614634.050000004</v>
      </c>
      <c r="AH69" s="35">
        <v>2271</v>
      </c>
      <c r="AI69" s="35">
        <v>88410529.818869174</v>
      </c>
      <c r="AJ69" s="35">
        <v>9742</v>
      </c>
      <c r="AK69" s="72">
        <f>VLOOKUP(AA69,'FY 2018 TABLE 15'!$A$11:$M$146,6,FALSE)-AC69</f>
        <v>2860208.4271942079</v>
      </c>
      <c r="AL69" s="72">
        <f>VLOOKUP(AA69,'FY 2018 TABLE 15'!$A$11:$M$146,7,FALSE)-AD69</f>
        <v>433</v>
      </c>
      <c r="AM69" s="72">
        <f>VLOOKUP(AA69,'FY 2018 TABLE 15'!$A$11:$M$146,10,FALSE)-AE69</f>
        <v>204357.62999999896</v>
      </c>
      <c r="AN69" s="72">
        <f>VLOOKUP(AA69,'FY 2018 TABLE 15'!$A$11:$M$146,11,FALSE)-AF69</f>
        <v>41</v>
      </c>
      <c r="AO69" s="72">
        <f>VLOOKUP(AA69,'FY 2018 TABLE 15'!$A$11:$M$146,4,FALSE)-AG69</f>
        <v>-1563326.9199999794</v>
      </c>
      <c r="AP69" s="72">
        <f>VLOOKUP(AA69,'FY 2018 TABLE 15'!$A$11:$M$146,5,FALSE)-AH69</f>
        <v>-129</v>
      </c>
      <c r="AQ69" s="72">
        <f>VLOOKUP(AA69,'FY 2018 TABLE 15'!$A$11:$M$146,12,FALSE)-AI69</f>
        <v>1728711.85719423</v>
      </c>
      <c r="AR69" s="73">
        <f>VLOOKUP(AA69,'FY 2018 TABLE 15'!$A$11:$M$146,13,FALSE)-AJ69</f>
        <v>391</v>
      </c>
    </row>
    <row r="70" spans="1:44" ht="15.75" x14ac:dyDescent="0.25">
      <c r="A70" s="249" t="s">
        <v>643</v>
      </c>
      <c r="B70" s="279"/>
      <c r="C70" s="279"/>
      <c r="D70" s="279"/>
      <c r="E70" s="279"/>
      <c r="F70" s="279"/>
      <c r="G70" s="279"/>
      <c r="H70" s="279"/>
      <c r="I70" s="65"/>
      <c r="J70" s="22"/>
      <c r="K70" s="17"/>
      <c r="L70" s="17"/>
      <c r="M70" s="17"/>
      <c r="N70" s="17"/>
      <c r="O70" s="17"/>
      <c r="P70" s="17"/>
      <c r="Q70" s="17"/>
      <c r="R70" s="17"/>
      <c r="S70" s="17"/>
      <c r="T70" s="17"/>
      <c r="U70" s="17"/>
      <c r="V70" s="17"/>
      <c r="W70" s="17"/>
      <c r="X70" s="17"/>
      <c r="Y70" s="17"/>
      <c r="Z70" s="17"/>
      <c r="AA70" s="236">
        <v>72</v>
      </c>
      <c r="AB70" s="237" t="s">
        <v>214</v>
      </c>
      <c r="AC70" s="35">
        <v>16902830.266347516</v>
      </c>
      <c r="AD70" s="35">
        <v>3976</v>
      </c>
      <c r="AE70" s="35">
        <v>1589346.71</v>
      </c>
      <c r="AF70" s="35">
        <v>374</v>
      </c>
      <c r="AG70" s="35">
        <v>22466197.990000002</v>
      </c>
      <c r="AH70" s="35">
        <v>5284</v>
      </c>
      <c r="AI70" s="35">
        <v>45489418.066347517</v>
      </c>
      <c r="AJ70" s="35">
        <v>10699</v>
      </c>
      <c r="AK70" s="72">
        <f>VLOOKUP(AA70,'FY 2018 TABLE 15'!$A$11:$M$146,6,FALSE)-AC70</f>
        <v>996959.1608428508</v>
      </c>
      <c r="AL70" s="72">
        <f>VLOOKUP(AA70,'FY 2018 TABLE 15'!$A$11:$M$146,7,FALSE)-AD70</f>
        <v>216</v>
      </c>
      <c r="AM70" s="72">
        <f>VLOOKUP(AA70,'FY 2018 TABLE 15'!$A$11:$M$146,10,FALSE)-AE70</f>
        <v>102944.54000000004</v>
      </c>
      <c r="AN70" s="72">
        <f>VLOOKUP(AA70,'FY 2018 TABLE 15'!$A$11:$M$146,11,FALSE)-AF70</f>
        <v>22</v>
      </c>
      <c r="AO70" s="72">
        <f>VLOOKUP(AA70,'FY 2018 TABLE 15'!$A$11:$M$146,4,FALSE)-AG70</f>
        <v>705240.07999999449</v>
      </c>
      <c r="AP70" s="72">
        <f>VLOOKUP(AA70,'FY 2018 TABLE 15'!$A$11:$M$146,5,FALSE)-AH70</f>
        <v>143</v>
      </c>
      <c r="AQ70" s="72">
        <f>VLOOKUP(AA70,'FY 2018 TABLE 15'!$A$11:$M$146,12,FALSE)-AI70</f>
        <v>1612589.2208428457</v>
      </c>
      <c r="AR70" s="73">
        <f>VLOOKUP(AA70,'FY 2018 TABLE 15'!$A$11:$M$146,13,FALSE)-AJ70</f>
        <v>333</v>
      </c>
    </row>
    <row r="71" spans="1:44" ht="15.75" x14ac:dyDescent="0.25">
      <c r="A71" s="279"/>
      <c r="B71" s="279"/>
      <c r="C71" s="279"/>
      <c r="D71" s="279"/>
      <c r="E71" s="279"/>
      <c r="F71" s="279"/>
      <c r="G71" s="279"/>
      <c r="H71" s="279"/>
      <c r="I71" s="65"/>
      <c r="J71" s="22"/>
      <c r="K71" s="17"/>
      <c r="L71" s="17"/>
      <c r="M71" s="17"/>
      <c r="N71" s="17"/>
      <c r="O71" s="17"/>
      <c r="P71" s="17"/>
      <c r="Q71" s="17"/>
      <c r="R71" s="17"/>
      <c r="S71" s="17"/>
      <c r="T71" s="17"/>
      <c r="U71" s="17"/>
      <c r="V71" s="17"/>
      <c r="W71" s="17"/>
      <c r="X71" s="17"/>
      <c r="Y71" s="17"/>
      <c r="Z71" s="17"/>
      <c r="AA71" s="236">
        <v>73</v>
      </c>
      <c r="AB71" s="237" t="s">
        <v>215</v>
      </c>
      <c r="AC71" s="35">
        <v>11355995.233082756</v>
      </c>
      <c r="AD71" s="35">
        <v>5396</v>
      </c>
      <c r="AE71" s="35">
        <v>2555857.9299999997</v>
      </c>
      <c r="AF71" s="35">
        <v>1214</v>
      </c>
      <c r="AG71" s="35">
        <v>6911098.0099999998</v>
      </c>
      <c r="AH71" s="35">
        <v>3284</v>
      </c>
      <c r="AI71" s="35">
        <v>23730187.393082757</v>
      </c>
      <c r="AJ71" s="35">
        <v>11275</v>
      </c>
      <c r="AK71" s="72">
        <f>VLOOKUP(AA71,'FY 2018 TABLE 15'!$A$11:$M$146,6,FALSE)-AC71</f>
        <v>-103015.49579216167</v>
      </c>
      <c r="AL71" s="72">
        <f>VLOOKUP(AA71,'FY 2018 TABLE 15'!$A$11:$M$146,7,FALSE)-AD71</f>
        <v>111</v>
      </c>
      <c r="AM71" s="72">
        <f>VLOOKUP(AA71,'FY 2018 TABLE 15'!$A$11:$M$146,10,FALSE)-AE71</f>
        <v>156652.8900000006</v>
      </c>
      <c r="AN71" s="72">
        <f>VLOOKUP(AA71,'FY 2018 TABLE 15'!$A$11:$M$146,11,FALSE)-AF71</f>
        <v>114</v>
      </c>
      <c r="AO71" s="72">
        <f>VLOOKUP(AA71,'FY 2018 TABLE 15'!$A$11:$M$146,4,FALSE)-AG71</f>
        <v>1441845.4499999937</v>
      </c>
      <c r="AP71" s="72">
        <f>VLOOKUP(AA71,'FY 2018 TABLE 15'!$A$11:$M$146,5,FALSE)-AH71</f>
        <v>804</v>
      </c>
      <c r="AQ71" s="72">
        <f>VLOOKUP(AA71,'FY 2018 TABLE 15'!$A$11:$M$146,12,FALSE)-AI71</f>
        <v>1364570.1442078315</v>
      </c>
      <c r="AR71" s="73">
        <f>VLOOKUP(AA71,'FY 2018 TABLE 15'!$A$11:$M$146,13,FALSE)-AJ71</f>
        <v>1007</v>
      </c>
    </row>
    <row r="72" spans="1:44" ht="15.75" x14ac:dyDescent="0.25">
      <c r="A72" s="279"/>
      <c r="B72" s="279"/>
      <c r="C72" s="279"/>
      <c r="D72" s="279"/>
      <c r="E72" s="279"/>
      <c r="F72" s="279"/>
      <c r="G72" s="279"/>
      <c r="H72" s="279"/>
      <c r="I72" s="65"/>
      <c r="J72" s="22"/>
      <c r="K72" s="17"/>
      <c r="L72" s="17"/>
      <c r="M72" s="17"/>
      <c r="N72" s="17"/>
      <c r="O72" s="17"/>
      <c r="P72" s="17"/>
      <c r="Q72" s="17"/>
      <c r="R72" s="17"/>
      <c r="S72" s="17"/>
      <c r="T72" s="17"/>
      <c r="U72" s="17"/>
      <c r="V72" s="17"/>
      <c r="W72" s="17"/>
      <c r="X72" s="17"/>
      <c r="Y72" s="17"/>
      <c r="Z72" s="17"/>
      <c r="AA72" s="236">
        <v>74</v>
      </c>
      <c r="AB72" s="237" t="s">
        <v>216</v>
      </c>
      <c r="AC72" s="35">
        <v>33239642.101795718</v>
      </c>
      <c r="AD72" s="35">
        <v>5243</v>
      </c>
      <c r="AE72" s="35">
        <v>10242692.069999998</v>
      </c>
      <c r="AF72" s="35">
        <v>1616</v>
      </c>
      <c r="AG72" s="35">
        <v>17372526.589999996</v>
      </c>
      <c r="AH72" s="35">
        <v>2740</v>
      </c>
      <c r="AI72" s="35">
        <v>66635174.801795714</v>
      </c>
      <c r="AJ72" s="35">
        <v>10511</v>
      </c>
      <c r="AK72" s="72">
        <f>VLOOKUP(AA72,'FY 2018 TABLE 15'!$A$11:$M$146,6,FALSE)-AC72</f>
        <v>658114.54203107208</v>
      </c>
      <c r="AL72" s="72">
        <f>VLOOKUP(AA72,'FY 2018 TABLE 15'!$A$11:$M$146,7,FALSE)-AD72</f>
        <v>120</v>
      </c>
      <c r="AM72" s="72">
        <f>VLOOKUP(AA72,'FY 2018 TABLE 15'!$A$11:$M$146,10,FALSE)-AE72</f>
        <v>-842720.52999999933</v>
      </c>
      <c r="AN72" s="72">
        <f>VLOOKUP(AA72,'FY 2018 TABLE 15'!$A$11:$M$146,11,FALSE)-AF72</f>
        <v>-129</v>
      </c>
      <c r="AO72" s="72">
        <f>VLOOKUP(AA72,'FY 2018 TABLE 15'!$A$11:$M$146,4,FALSE)-AG72</f>
        <v>895864.06000000983</v>
      </c>
      <c r="AP72" s="72">
        <f>VLOOKUP(AA72,'FY 2018 TABLE 15'!$A$11:$M$146,5,FALSE)-AH72</f>
        <v>150</v>
      </c>
      <c r="AQ72" s="72">
        <f>VLOOKUP(AA72,'FY 2018 TABLE 15'!$A$11:$M$146,12,FALSE)-AI72</f>
        <v>648332.25203108042</v>
      </c>
      <c r="AR72" s="73">
        <f>VLOOKUP(AA72,'FY 2018 TABLE 15'!$A$11:$M$146,13,FALSE)-AJ72</f>
        <v>134</v>
      </c>
    </row>
    <row r="73" spans="1:44" ht="15.75" x14ac:dyDescent="0.25">
      <c r="A73" s="279"/>
      <c r="B73" s="279"/>
      <c r="C73" s="279"/>
      <c r="D73" s="279"/>
      <c r="E73" s="279"/>
      <c r="F73" s="279"/>
      <c r="G73" s="279"/>
      <c r="H73" s="279"/>
      <c r="I73" s="65"/>
      <c r="J73" s="22"/>
      <c r="K73" s="17"/>
      <c r="L73" s="17"/>
      <c r="M73" s="17"/>
      <c r="N73" s="17"/>
      <c r="O73" s="17"/>
      <c r="P73" s="17"/>
      <c r="Q73" s="17"/>
      <c r="R73" s="17"/>
      <c r="S73" s="17"/>
      <c r="T73" s="17"/>
      <c r="U73" s="17"/>
      <c r="V73" s="17"/>
      <c r="W73" s="17"/>
      <c r="X73" s="17"/>
      <c r="Y73" s="17"/>
      <c r="Z73" s="17"/>
      <c r="AA73" s="236">
        <v>75</v>
      </c>
      <c r="AB73" s="237" t="s">
        <v>217</v>
      </c>
      <c r="AC73" s="35">
        <v>405796245.12688798</v>
      </c>
      <c r="AD73" s="35">
        <v>4530</v>
      </c>
      <c r="AE73" s="35">
        <v>68001002.710000008</v>
      </c>
      <c r="AF73" s="35">
        <v>759</v>
      </c>
      <c r="AG73" s="35">
        <v>456123980.87000012</v>
      </c>
      <c r="AH73" s="35">
        <v>5092</v>
      </c>
      <c r="AI73" s="35">
        <v>1017251325.536888</v>
      </c>
      <c r="AJ73" s="35">
        <v>11356</v>
      </c>
      <c r="AK73" s="72">
        <f>VLOOKUP(AA73,'FY 2018 TABLE 15'!$A$11:$M$146,6,FALSE)-AC73</f>
        <v>17736392.086030424</v>
      </c>
      <c r="AL73" s="72">
        <f>VLOOKUP(AA73,'FY 2018 TABLE 15'!$A$11:$M$146,7,FALSE)-AD73</f>
        <v>151</v>
      </c>
      <c r="AM73" s="72">
        <f>VLOOKUP(AA73,'FY 2018 TABLE 15'!$A$11:$M$146,10,FALSE)-AE73</f>
        <v>-1546093.9800000191</v>
      </c>
      <c r="AN73" s="72">
        <f>VLOOKUP(AA73,'FY 2018 TABLE 15'!$A$11:$M$146,11,FALSE)-AF73</f>
        <v>-24</v>
      </c>
      <c r="AO73" s="72">
        <f>VLOOKUP(AA73,'FY 2018 TABLE 15'!$A$11:$M$146,4,FALSE)-AG73</f>
        <v>23028074.969997764</v>
      </c>
      <c r="AP73" s="72">
        <f>VLOOKUP(AA73,'FY 2018 TABLE 15'!$A$11:$M$146,5,FALSE)-AH73</f>
        <v>204</v>
      </c>
      <c r="AQ73" s="72">
        <f>VLOOKUP(AA73,'FY 2018 TABLE 15'!$A$11:$M$146,12,FALSE)-AI73</f>
        <v>36977488.446028233</v>
      </c>
      <c r="AR73" s="73">
        <f>VLOOKUP(AA73,'FY 2018 TABLE 15'!$A$11:$M$146,13,FALSE)-AJ73</f>
        <v>296</v>
      </c>
    </row>
    <row r="74" spans="1:44" ht="15.75" x14ac:dyDescent="0.25">
      <c r="A74" s="279"/>
      <c r="B74" s="279"/>
      <c r="C74" s="279"/>
      <c r="D74" s="279"/>
      <c r="E74" s="279"/>
      <c r="F74" s="279"/>
      <c r="G74" s="279"/>
      <c r="H74" s="279"/>
      <c r="I74" s="65"/>
      <c r="J74" s="22"/>
      <c r="K74" s="17"/>
      <c r="L74" s="17"/>
      <c r="M74" s="17"/>
      <c r="N74" s="17"/>
      <c r="O74" s="17"/>
      <c r="P74" s="17"/>
      <c r="Q74" s="17"/>
      <c r="R74" s="17"/>
      <c r="S74" s="17"/>
      <c r="T74" s="17"/>
      <c r="U74" s="17"/>
      <c r="V74" s="17"/>
      <c r="W74" s="17"/>
      <c r="X74" s="17"/>
      <c r="Y74" s="17"/>
      <c r="Z74" s="17"/>
      <c r="AA74" s="236">
        <v>77</v>
      </c>
      <c r="AB74" s="237" t="s">
        <v>218</v>
      </c>
      <c r="AC74" s="35">
        <v>21876971.832493372</v>
      </c>
      <c r="AD74" s="35">
        <v>5163</v>
      </c>
      <c r="AE74" s="35">
        <v>4308438.1800000006</v>
      </c>
      <c r="AF74" s="35">
        <v>1017</v>
      </c>
      <c r="AG74" s="35">
        <v>15777426.420000002</v>
      </c>
      <c r="AH74" s="35">
        <v>3724</v>
      </c>
      <c r="AI74" s="35">
        <v>46678471.212493375</v>
      </c>
      <c r="AJ74" s="35">
        <v>11017</v>
      </c>
      <c r="AK74" s="72">
        <f>VLOOKUP(AA74,'FY 2018 TABLE 15'!$A$11:$M$146,6,FALSE)-AC74</f>
        <v>134187.47152156755</v>
      </c>
      <c r="AL74" s="72">
        <f>VLOOKUP(AA74,'FY 2018 TABLE 15'!$A$11:$M$146,7,FALSE)-AD74</f>
        <v>140</v>
      </c>
      <c r="AM74" s="72">
        <f>VLOOKUP(AA74,'FY 2018 TABLE 15'!$A$11:$M$146,10,FALSE)-AE74</f>
        <v>336271.27999999933</v>
      </c>
      <c r="AN74" s="72">
        <f>VLOOKUP(AA74,'FY 2018 TABLE 15'!$A$11:$M$146,11,FALSE)-AF74</f>
        <v>102</v>
      </c>
      <c r="AO74" s="72">
        <f>VLOOKUP(AA74,'FY 2018 TABLE 15'!$A$11:$M$146,4,FALSE)-AG74</f>
        <v>-484342.52000003681</v>
      </c>
      <c r="AP74" s="72">
        <f>VLOOKUP(AA74,'FY 2018 TABLE 15'!$A$11:$M$146,5,FALSE)-AH74</f>
        <v>-39</v>
      </c>
      <c r="AQ74" s="72">
        <f>VLOOKUP(AA74,'FY 2018 TABLE 15'!$A$11:$M$146,12,FALSE)-AI74</f>
        <v>59034.991521529853</v>
      </c>
      <c r="AR74" s="73">
        <f>VLOOKUP(AA74,'FY 2018 TABLE 15'!$A$11:$M$146,13,FALSE)-AJ74</f>
        <v>244</v>
      </c>
    </row>
    <row r="75" spans="1:44" ht="15.75" x14ac:dyDescent="0.25">
      <c r="A75" s="279"/>
      <c r="B75" s="279"/>
      <c r="C75" s="279"/>
      <c r="D75" s="279"/>
      <c r="E75" s="279"/>
      <c r="F75" s="279"/>
      <c r="G75" s="279"/>
      <c r="H75" s="279"/>
      <c r="I75" s="65"/>
      <c r="J75" s="22"/>
      <c r="K75" s="17"/>
      <c r="L75" s="17"/>
      <c r="M75" s="17"/>
      <c r="N75" s="17"/>
      <c r="O75" s="17"/>
      <c r="P75" s="17"/>
      <c r="Q75" s="17"/>
      <c r="R75" s="17"/>
      <c r="S75" s="17"/>
      <c r="T75" s="17"/>
      <c r="U75" s="17"/>
      <c r="V75" s="17"/>
      <c r="W75" s="17"/>
      <c r="X75" s="17"/>
      <c r="Y75" s="17"/>
      <c r="Z75" s="17"/>
      <c r="AA75" s="236">
        <v>78</v>
      </c>
      <c r="AB75" s="237" t="s">
        <v>219</v>
      </c>
      <c r="AC75" s="35">
        <v>1952617.2702232166</v>
      </c>
      <c r="AD75" s="35">
        <v>2257</v>
      </c>
      <c r="AE75" s="35">
        <v>675961.69000000018</v>
      </c>
      <c r="AF75" s="35">
        <v>781</v>
      </c>
      <c r="AG75" s="35">
        <v>8913957.6999999993</v>
      </c>
      <c r="AH75" s="35">
        <v>10302</v>
      </c>
      <c r="AI75" s="35">
        <v>12586479.880223216</v>
      </c>
      <c r="AJ75" s="35">
        <v>14547</v>
      </c>
      <c r="AK75" s="72">
        <f>VLOOKUP(AA75,'FY 2018 TABLE 15'!$A$11:$M$146,6,FALSE)-AC75</f>
        <v>-51946.220430736663</v>
      </c>
      <c r="AL75" s="72">
        <f>VLOOKUP(AA75,'FY 2018 TABLE 15'!$A$11:$M$146,7,FALSE)-AD75</f>
        <v>-11</v>
      </c>
      <c r="AM75" s="72">
        <f>VLOOKUP(AA75,'FY 2018 TABLE 15'!$A$11:$M$146,10,FALSE)-AE75</f>
        <v>-77528.39000000013</v>
      </c>
      <c r="AN75" s="72">
        <f>VLOOKUP(AA75,'FY 2018 TABLE 15'!$A$11:$M$146,11,FALSE)-AF75</f>
        <v>-74</v>
      </c>
      <c r="AO75" s="72">
        <f>VLOOKUP(AA75,'FY 2018 TABLE 15'!$A$11:$M$146,4,FALSE)-AG75</f>
        <v>-269880.90000000596</v>
      </c>
      <c r="AP75" s="72">
        <f>VLOOKUP(AA75,'FY 2018 TABLE 15'!$A$11:$M$146,5,FALSE)-AH75</f>
        <v>-88</v>
      </c>
      <c r="AQ75" s="72">
        <f>VLOOKUP(AA75,'FY 2018 TABLE 15'!$A$11:$M$146,12,FALSE)-AI75</f>
        <v>-395012.83043074422</v>
      </c>
      <c r="AR75" s="73">
        <f>VLOOKUP(AA75,'FY 2018 TABLE 15'!$A$11:$M$146,13,FALSE)-AJ75</f>
        <v>-141</v>
      </c>
    </row>
    <row r="76" spans="1:44" ht="15.75" x14ac:dyDescent="0.25">
      <c r="A76" s="279"/>
      <c r="B76" s="279"/>
      <c r="C76" s="279"/>
      <c r="D76" s="279"/>
      <c r="E76" s="279"/>
      <c r="F76" s="279"/>
      <c r="G76" s="279"/>
      <c r="H76" s="279"/>
      <c r="I76" s="65"/>
      <c r="J76" s="22"/>
      <c r="K76" s="17"/>
      <c r="L76" s="17"/>
      <c r="M76" s="17"/>
      <c r="N76" s="17"/>
      <c r="O76" s="17"/>
      <c r="P76" s="17"/>
      <c r="Q76" s="17"/>
      <c r="R76" s="17"/>
      <c r="S76" s="17"/>
      <c r="T76" s="17"/>
      <c r="U76" s="17"/>
      <c r="V76" s="17"/>
      <c r="W76" s="17"/>
      <c r="X76" s="17"/>
      <c r="Y76" s="17"/>
      <c r="Z76" s="17"/>
      <c r="AA76" s="236">
        <v>79</v>
      </c>
      <c r="AB76" s="237" t="s">
        <v>220</v>
      </c>
      <c r="AC76" s="35">
        <v>7190854.5374359544</v>
      </c>
      <c r="AD76" s="35">
        <v>5525</v>
      </c>
      <c r="AE76" s="35">
        <v>1189116.43</v>
      </c>
      <c r="AF76" s="35">
        <v>914</v>
      </c>
      <c r="AG76" s="35">
        <v>5096987.01</v>
      </c>
      <c r="AH76" s="35">
        <v>3916</v>
      </c>
      <c r="AI76" s="35">
        <v>14662626.397435954</v>
      </c>
      <c r="AJ76" s="35">
        <v>11266</v>
      </c>
      <c r="AK76" s="72">
        <f>VLOOKUP(AA76,'FY 2018 TABLE 15'!$A$11:$M$146,6,FALSE)-AC76</f>
        <v>343094.841073866</v>
      </c>
      <c r="AL76" s="72">
        <f>VLOOKUP(AA76,'FY 2018 TABLE 15'!$A$11:$M$146,7,FALSE)-AD76</f>
        <v>215</v>
      </c>
      <c r="AM76" s="72">
        <f>VLOOKUP(AA76,'FY 2018 TABLE 15'!$A$11:$M$146,10,FALSE)-AE76</f>
        <v>119552.65000000014</v>
      </c>
      <c r="AN76" s="72">
        <f>VLOOKUP(AA76,'FY 2018 TABLE 15'!$A$11:$M$146,11,FALSE)-AF76</f>
        <v>83</v>
      </c>
      <c r="AO76" s="72">
        <f>VLOOKUP(AA76,'FY 2018 TABLE 15'!$A$11:$M$146,4,FALSE)-AG76</f>
        <v>-577800.80999999307</v>
      </c>
      <c r="AP76" s="72">
        <f>VLOOKUP(AA76,'FY 2018 TABLE 15'!$A$11:$M$146,5,FALSE)-AH76</f>
        <v>-473</v>
      </c>
      <c r="AQ76" s="72">
        <f>VLOOKUP(AA76,'FY 2018 TABLE 15'!$A$11:$M$146,12,FALSE)-AI76</f>
        <v>-96155.138926126063</v>
      </c>
      <c r="AR76" s="73">
        <f>VLOOKUP(AA76,'FY 2018 TABLE 15'!$A$11:$M$146,13,FALSE)-AJ76</f>
        <v>-169</v>
      </c>
    </row>
    <row r="77" spans="1:44" ht="15.75" x14ac:dyDescent="0.25">
      <c r="A77" s="279"/>
      <c r="B77" s="279"/>
      <c r="C77" s="279"/>
      <c r="D77" s="279"/>
      <c r="E77" s="279"/>
      <c r="F77" s="279"/>
      <c r="G77" s="279"/>
      <c r="H77" s="279"/>
      <c r="I77" s="65"/>
      <c r="J77" s="22"/>
      <c r="K77" s="17"/>
      <c r="L77" s="17"/>
      <c r="M77" s="17"/>
      <c r="N77" s="17"/>
      <c r="O77" s="17"/>
      <c r="P77" s="17"/>
      <c r="Q77" s="17"/>
      <c r="R77" s="17"/>
      <c r="S77" s="17"/>
      <c r="T77" s="17"/>
      <c r="U77" s="17"/>
      <c r="V77" s="17"/>
      <c r="W77" s="17"/>
      <c r="X77" s="17"/>
      <c r="Y77" s="17"/>
      <c r="Z77" s="17"/>
      <c r="AA77" s="236">
        <v>80</v>
      </c>
      <c r="AB77" s="237" t="s">
        <v>221</v>
      </c>
      <c r="AC77" s="35">
        <v>60280131.30761613</v>
      </c>
      <c r="AD77" s="35">
        <v>4271</v>
      </c>
      <c r="AE77" s="35">
        <v>7351684.1599999992</v>
      </c>
      <c r="AF77" s="35">
        <v>521</v>
      </c>
      <c r="AG77" s="35">
        <v>63918184.819999993</v>
      </c>
      <c r="AH77" s="35">
        <v>4529</v>
      </c>
      <c r="AI77" s="35">
        <v>146702900.26761612</v>
      </c>
      <c r="AJ77" s="35">
        <v>10394</v>
      </c>
      <c r="AK77" s="72">
        <f>VLOOKUP(AA77,'FY 2018 TABLE 15'!$A$11:$M$146,6,FALSE)-AC77</f>
        <v>2867281.8834650367</v>
      </c>
      <c r="AL77" s="72">
        <f>VLOOKUP(AA77,'FY 2018 TABLE 15'!$A$11:$M$146,7,FALSE)-AD77</f>
        <v>208</v>
      </c>
      <c r="AM77" s="72">
        <f>VLOOKUP(AA77,'FY 2018 TABLE 15'!$A$11:$M$146,10,FALSE)-AE77</f>
        <v>472892.84999999963</v>
      </c>
      <c r="AN77" s="72">
        <f>VLOOKUP(AA77,'FY 2018 TABLE 15'!$A$11:$M$146,11,FALSE)-AF77</f>
        <v>34</v>
      </c>
      <c r="AO77" s="72">
        <f>VLOOKUP(AA77,'FY 2018 TABLE 15'!$A$11:$M$146,4,FALSE)-AG77</f>
        <v>3120701.9600002915</v>
      </c>
      <c r="AP77" s="72">
        <f>VLOOKUP(AA77,'FY 2018 TABLE 15'!$A$11:$M$146,5,FALSE)-AH77</f>
        <v>226</v>
      </c>
      <c r="AQ77" s="72">
        <f>VLOOKUP(AA77,'FY 2018 TABLE 15'!$A$11:$M$146,12,FALSE)-AI77</f>
        <v>6652318.1734653413</v>
      </c>
      <c r="AR77" s="73">
        <f>VLOOKUP(AA77,'FY 2018 TABLE 15'!$A$11:$M$146,13,FALSE)-AJ77</f>
        <v>484</v>
      </c>
    </row>
    <row r="78" spans="1:44" s="24" customFormat="1" ht="15.75" x14ac:dyDescent="0.25">
      <c r="A78" s="279"/>
      <c r="B78" s="279"/>
      <c r="C78" s="279"/>
      <c r="D78" s="279"/>
      <c r="E78" s="279"/>
      <c r="F78" s="279"/>
      <c r="G78" s="279"/>
      <c r="H78" s="279"/>
      <c r="I78" s="65"/>
      <c r="J78" s="22"/>
      <c r="K78" s="17"/>
      <c r="L78" s="17"/>
      <c r="M78" s="17"/>
      <c r="N78" s="17"/>
      <c r="O78" s="17"/>
      <c r="P78" s="17"/>
      <c r="Q78" s="17"/>
      <c r="R78" s="17"/>
      <c r="S78" s="17"/>
      <c r="T78" s="17"/>
      <c r="U78" s="17"/>
      <c r="V78" s="17"/>
      <c r="W78" s="17"/>
      <c r="X78" s="17"/>
      <c r="Y78" s="17"/>
      <c r="Z78" s="17"/>
      <c r="AA78" s="236">
        <v>81</v>
      </c>
      <c r="AB78" s="237" t="s">
        <v>222</v>
      </c>
      <c r="AC78" s="35">
        <v>11082858.020000001</v>
      </c>
      <c r="AD78" s="35">
        <v>4253</v>
      </c>
      <c r="AE78" s="35">
        <v>2007275.93</v>
      </c>
      <c r="AF78" s="35">
        <v>770</v>
      </c>
      <c r="AG78" s="35">
        <v>13943025.799999997</v>
      </c>
      <c r="AH78" s="35">
        <v>5351</v>
      </c>
      <c r="AI78" s="35">
        <v>30118850.710000001</v>
      </c>
      <c r="AJ78" s="35">
        <v>11559</v>
      </c>
      <c r="AK78" s="72">
        <f>VLOOKUP(AA78,'FY 2018 TABLE 15'!$A$11:$M$146,6,FALSE)-AC78</f>
        <v>726637.17999999598</v>
      </c>
      <c r="AL78" s="72">
        <f>VLOOKUP(AA78,'FY 2018 TABLE 15'!$A$11:$M$146,7,FALSE)-AD78</f>
        <v>228</v>
      </c>
      <c r="AM78" s="72">
        <f>VLOOKUP(AA78,'FY 2018 TABLE 15'!$A$11:$M$146,10,FALSE)-AE78</f>
        <v>539059.97999999975</v>
      </c>
      <c r="AN78" s="72">
        <f>VLOOKUP(AA78,'FY 2018 TABLE 15'!$A$11:$M$146,11,FALSE)-AF78</f>
        <v>196</v>
      </c>
      <c r="AO78" s="72">
        <f>VLOOKUP(AA78,'FY 2018 TABLE 15'!$A$11:$M$146,4,FALSE)-AG78</f>
        <v>812721.05999998376</v>
      </c>
      <c r="AP78" s="72">
        <f>VLOOKUP(AA78,'FY 2018 TABLE 15'!$A$11:$M$146,5,FALSE)-AH78</f>
        <v>248</v>
      </c>
      <c r="AQ78" s="72">
        <f>VLOOKUP(AA78,'FY 2018 TABLE 15'!$A$11:$M$146,12,FALSE)-AI78</f>
        <v>2044761.3199999779</v>
      </c>
      <c r="AR78" s="73">
        <f>VLOOKUP(AA78,'FY 2018 TABLE 15'!$A$11:$M$146,13,FALSE)-AJ78</f>
        <v>646</v>
      </c>
    </row>
    <row r="79" spans="1:44" s="24" customFormat="1" ht="15.75" x14ac:dyDescent="0.25">
      <c r="A79" s="279"/>
      <c r="B79" s="279"/>
      <c r="C79" s="279"/>
      <c r="D79" s="279"/>
      <c r="E79" s="279"/>
      <c r="F79" s="279"/>
      <c r="G79" s="279"/>
      <c r="H79" s="279"/>
      <c r="I79" s="65"/>
      <c r="J79" s="22"/>
      <c r="K79" s="17"/>
      <c r="L79" s="17"/>
      <c r="M79" s="17"/>
      <c r="N79" s="17"/>
      <c r="O79" s="17"/>
      <c r="P79" s="17"/>
      <c r="Q79" s="17"/>
      <c r="R79" s="17"/>
      <c r="S79" s="17"/>
      <c r="T79" s="17"/>
      <c r="U79" s="17"/>
      <c r="V79" s="17"/>
      <c r="W79" s="17"/>
      <c r="X79" s="17"/>
      <c r="Y79" s="17"/>
      <c r="Z79" s="17"/>
      <c r="AA79" s="236">
        <v>82</v>
      </c>
      <c r="AB79" s="237" t="s">
        <v>223</v>
      </c>
      <c r="AC79" s="35">
        <v>50814994.590566374</v>
      </c>
      <c r="AD79" s="35">
        <v>4314</v>
      </c>
      <c r="AE79" s="35">
        <v>7610641.0999999996</v>
      </c>
      <c r="AF79" s="35">
        <v>646</v>
      </c>
      <c r="AG79" s="35">
        <v>62665060.280000024</v>
      </c>
      <c r="AH79" s="35">
        <v>5320</v>
      </c>
      <c r="AI79" s="35">
        <v>134552539.4305664</v>
      </c>
      <c r="AJ79" s="35">
        <v>11423</v>
      </c>
      <c r="AK79" s="72">
        <f>VLOOKUP(AA79,'FY 2018 TABLE 15'!$A$11:$M$146,6,FALSE)-AC79</f>
        <v>2425005.7870713919</v>
      </c>
      <c r="AL79" s="72">
        <f>VLOOKUP(AA79,'FY 2018 TABLE 15'!$A$11:$M$146,7,FALSE)-AD79</f>
        <v>189</v>
      </c>
      <c r="AM79" s="72">
        <f>VLOOKUP(AA79,'FY 2018 TABLE 15'!$A$11:$M$146,10,FALSE)-AE79</f>
        <v>716596.09999999963</v>
      </c>
      <c r="AN79" s="72">
        <f>VLOOKUP(AA79,'FY 2018 TABLE 15'!$A$11:$M$146,11,FALSE)-AF79</f>
        <v>58</v>
      </c>
      <c r="AO79" s="72">
        <f>VLOOKUP(AA79,'FY 2018 TABLE 15'!$A$11:$M$146,4,FALSE)-AG79</f>
        <v>3448450.7500001565</v>
      </c>
      <c r="AP79" s="72">
        <f>VLOOKUP(AA79,'FY 2018 TABLE 15'!$A$11:$M$146,5,FALSE)-AH79</f>
        <v>272</v>
      </c>
      <c r="AQ79" s="72">
        <f>VLOOKUP(AA79,'FY 2018 TABLE 15'!$A$11:$M$146,12,FALSE)-AI79</f>
        <v>6057719.6770715415</v>
      </c>
      <c r="AR79" s="73">
        <f>VLOOKUP(AA79,'FY 2018 TABLE 15'!$A$11:$M$146,13,FALSE)-AJ79</f>
        <v>470</v>
      </c>
    </row>
    <row r="80" spans="1:44" s="24" customFormat="1" ht="15.75" x14ac:dyDescent="0.25">
      <c r="A80" s="279"/>
      <c r="B80" s="279"/>
      <c r="C80" s="279"/>
      <c r="D80" s="279"/>
      <c r="E80" s="279"/>
      <c r="F80" s="279"/>
      <c r="G80" s="279"/>
      <c r="H80" s="279"/>
      <c r="I80" s="65"/>
      <c r="J80" s="22"/>
      <c r="K80" s="17"/>
      <c r="L80" s="17"/>
      <c r="M80" s="17"/>
      <c r="N80" s="17"/>
      <c r="O80" s="17"/>
      <c r="P80" s="17"/>
      <c r="Q80" s="17"/>
      <c r="R80" s="17"/>
      <c r="S80" s="17"/>
      <c r="T80" s="17"/>
      <c r="U80" s="17"/>
      <c r="V80" s="17"/>
      <c r="W80" s="17"/>
      <c r="X80" s="17"/>
      <c r="Y80" s="17"/>
      <c r="Z80" s="17"/>
      <c r="AA80" s="236">
        <v>83</v>
      </c>
      <c r="AB80" s="237" t="s">
        <v>224</v>
      </c>
      <c r="AC80" s="35">
        <v>22450674.709076837</v>
      </c>
      <c r="AD80" s="35">
        <v>5647</v>
      </c>
      <c r="AE80" s="35">
        <v>4734208.6000000006</v>
      </c>
      <c r="AF80" s="35">
        <v>1191</v>
      </c>
      <c r="AG80" s="35">
        <v>8499307.1899999976</v>
      </c>
      <c r="AH80" s="35">
        <v>2138</v>
      </c>
      <c r="AI80" s="35">
        <v>39820933.219076835</v>
      </c>
      <c r="AJ80" s="35">
        <v>10015</v>
      </c>
      <c r="AK80" s="72">
        <f>VLOOKUP(AA80,'FY 2018 TABLE 15'!$A$11:$M$146,6,FALSE)-AC80</f>
        <v>439348.50874290988</v>
      </c>
      <c r="AL80" s="72">
        <f>VLOOKUP(AA80,'FY 2018 TABLE 15'!$A$11:$M$146,7,FALSE)-AD80</f>
        <v>347</v>
      </c>
      <c r="AM80" s="72">
        <f>VLOOKUP(AA80,'FY 2018 TABLE 15'!$A$11:$M$146,10,FALSE)-AE80</f>
        <v>470026.65999999922</v>
      </c>
      <c r="AN80" s="72">
        <f>VLOOKUP(AA80,'FY 2018 TABLE 15'!$A$11:$M$146,11,FALSE)-AF80</f>
        <v>172</v>
      </c>
      <c r="AO80" s="72">
        <f>VLOOKUP(AA80,'FY 2018 TABLE 15'!$A$11:$M$146,4,FALSE)-AG80</f>
        <v>606693.30999996513</v>
      </c>
      <c r="AP80" s="72">
        <f>VLOOKUP(AA80,'FY 2018 TABLE 15'!$A$11:$M$146,5,FALSE)-AH80</f>
        <v>247</v>
      </c>
      <c r="AQ80" s="72">
        <f>VLOOKUP(AA80,'FY 2018 TABLE 15'!$A$11:$M$146,12,FALSE)-AI80</f>
        <v>1607414.1187428758</v>
      </c>
      <c r="AR80" s="73">
        <f>VLOOKUP(AA80,'FY 2018 TABLE 15'!$A$11:$M$146,13,FALSE)-AJ80</f>
        <v>834</v>
      </c>
    </row>
    <row r="81" spans="1:44" s="24" customFormat="1" ht="15.75" x14ac:dyDescent="0.25">
      <c r="A81" s="279"/>
      <c r="B81" s="279"/>
      <c r="C81" s="279"/>
      <c r="D81" s="279"/>
      <c r="E81" s="279"/>
      <c r="F81" s="279"/>
      <c r="G81" s="279"/>
      <c r="H81" s="279"/>
      <c r="I81" s="65"/>
      <c r="J81" s="22"/>
      <c r="K81" s="17"/>
      <c r="L81" s="17"/>
      <c r="M81" s="17"/>
      <c r="N81" s="17"/>
      <c r="O81" s="17"/>
      <c r="P81" s="17"/>
      <c r="Q81" s="17"/>
      <c r="R81" s="17"/>
      <c r="S81" s="17"/>
      <c r="T81" s="17"/>
      <c r="U81" s="17"/>
      <c r="V81" s="17"/>
      <c r="W81" s="17"/>
      <c r="X81" s="17"/>
      <c r="Y81" s="17"/>
      <c r="Z81" s="17"/>
      <c r="AA81" s="236">
        <v>84</v>
      </c>
      <c r="AB81" s="237" t="s">
        <v>225</v>
      </c>
      <c r="AC81" s="35">
        <v>23672024.462071911</v>
      </c>
      <c r="AD81" s="35">
        <v>6364</v>
      </c>
      <c r="AE81" s="35">
        <v>3318606.69</v>
      </c>
      <c r="AF81" s="35">
        <v>892</v>
      </c>
      <c r="AG81" s="35">
        <v>5949922.3399999961</v>
      </c>
      <c r="AH81" s="35">
        <v>1600</v>
      </c>
      <c r="AI81" s="35">
        <v>36230608.092071906</v>
      </c>
      <c r="AJ81" s="35">
        <v>9740</v>
      </c>
      <c r="AK81" s="72">
        <f>VLOOKUP(AA81,'FY 2018 TABLE 15'!$A$11:$M$146,6,FALSE)-AC81</f>
        <v>648666.6072252132</v>
      </c>
      <c r="AL81" s="72">
        <f>VLOOKUP(AA81,'FY 2018 TABLE 15'!$A$11:$M$146,7,FALSE)-AD81</f>
        <v>463</v>
      </c>
      <c r="AM81" s="72">
        <f>VLOOKUP(AA81,'FY 2018 TABLE 15'!$A$11:$M$146,10,FALSE)-AE81</f>
        <v>701911.15000000037</v>
      </c>
      <c r="AN81" s="72">
        <f>VLOOKUP(AA81,'FY 2018 TABLE 15'!$A$11:$M$146,11,FALSE)-AF81</f>
        <v>237</v>
      </c>
      <c r="AO81" s="72">
        <f>VLOOKUP(AA81,'FY 2018 TABLE 15'!$A$11:$M$146,4,FALSE)-AG81</f>
        <v>3486.5299999639392</v>
      </c>
      <c r="AP81" s="72">
        <f>VLOOKUP(AA81,'FY 2018 TABLE 15'!$A$11:$M$146,5,FALSE)-AH81</f>
        <v>71</v>
      </c>
      <c r="AQ81" s="72">
        <f>VLOOKUP(AA81,'FY 2018 TABLE 15'!$A$11:$M$146,12,FALSE)-AI81</f>
        <v>1202033.227225177</v>
      </c>
      <c r="AR81" s="73">
        <f>VLOOKUP(AA81,'FY 2018 TABLE 15'!$A$11:$M$146,13,FALSE)-AJ81</f>
        <v>768</v>
      </c>
    </row>
    <row r="82" spans="1:44" s="24" customFormat="1" ht="15.75" x14ac:dyDescent="0.25">
      <c r="A82" s="279"/>
      <c r="B82" s="279"/>
      <c r="C82" s="279"/>
      <c r="D82" s="279"/>
      <c r="E82" s="279"/>
      <c r="F82" s="279"/>
      <c r="G82" s="279"/>
      <c r="H82" s="279"/>
      <c r="I82" s="65"/>
      <c r="J82" s="22"/>
      <c r="K82" s="17"/>
      <c r="L82" s="17"/>
      <c r="M82" s="17"/>
      <c r="N82" s="17"/>
      <c r="O82" s="17"/>
      <c r="P82" s="17"/>
      <c r="Q82" s="17"/>
      <c r="R82" s="17"/>
      <c r="S82" s="17"/>
      <c r="T82" s="17"/>
      <c r="U82" s="17"/>
      <c r="V82" s="17"/>
      <c r="W82" s="17"/>
      <c r="X82" s="17"/>
      <c r="Y82" s="17"/>
      <c r="Z82" s="17"/>
      <c r="AA82" s="236">
        <v>85</v>
      </c>
      <c r="AB82" s="237" t="s">
        <v>226</v>
      </c>
      <c r="AC82" s="35">
        <v>27132626.10325117</v>
      </c>
      <c r="AD82" s="35">
        <v>4529</v>
      </c>
      <c r="AE82" s="35">
        <v>4241235.1900000004</v>
      </c>
      <c r="AF82" s="35">
        <v>708</v>
      </c>
      <c r="AG82" s="35">
        <v>26041404.399999991</v>
      </c>
      <c r="AH82" s="35">
        <v>4347</v>
      </c>
      <c r="AI82" s="35">
        <v>64318712.673251167</v>
      </c>
      <c r="AJ82" s="35">
        <v>10737</v>
      </c>
      <c r="AK82" s="72">
        <f>VLOOKUP(AA82,'FY 2018 TABLE 15'!$A$11:$M$146,6,FALSE)-AC82</f>
        <v>1395350.4045676216</v>
      </c>
      <c r="AL82" s="72">
        <f>VLOOKUP(AA82,'FY 2018 TABLE 15'!$A$11:$M$146,7,FALSE)-AD82</f>
        <v>216</v>
      </c>
      <c r="AM82" s="72">
        <f>VLOOKUP(AA82,'FY 2018 TABLE 15'!$A$11:$M$146,10,FALSE)-AE82</f>
        <v>-14598.770000000484</v>
      </c>
      <c r="AN82" s="72">
        <f>VLOOKUP(AA82,'FY 2018 TABLE 15'!$A$11:$M$146,11,FALSE)-AF82</f>
        <v>-5</v>
      </c>
      <c r="AO82" s="72">
        <f>VLOOKUP(AA82,'FY 2018 TABLE 15'!$A$11:$M$146,4,FALSE)-AG82</f>
        <v>1083693.7399999797</v>
      </c>
      <c r="AP82" s="72">
        <f>VLOOKUP(AA82,'FY 2018 TABLE 15'!$A$11:$M$146,5,FALSE)-AH82</f>
        <v>165</v>
      </c>
      <c r="AQ82" s="72">
        <f>VLOOKUP(AA82,'FY 2018 TABLE 15'!$A$11:$M$146,12,FALSE)-AI82</f>
        <v>2465075.5345675945</v>
      </c>
      <c r="AR82" s="73">
        <f>VLOOKUP(AA82,'FY 2018 TABLE 15'!$A$11:$M$146,13,FALSE)-AJ82</f>
        <v>371</v>
      </c>
    </row>
    <row r="83" spans="1:44" s="24" customFormat="1" ht="15.75" x14ac:dyDescent="0.25">
      <c r="A83" s="279"/>
      <c r="B83" s="279"/>
      <c r="C83" s="279"/>
      <c r="D83" s="279"/>
      <c r="E83" s="279"/>
      <c r="F83" s="279"/>
      <c r="G83" s="279"/>
      <c r="H83" s="279"/>
      <c r="I83" s="65"/>
      <c r="J83" s="22"/>
      <c r="K83" s="17"/>
      <c r="L83" s="17"/>
      <c r="M83" s="17"/>
      <c r="N83" s="17"/>
      <c r="O83" s="17"/>
      <c r="P83" s="17"/>
      <c r="Q83" s="17"/>
      <c r="R83" s="17"/>
      <c r="S83" s="17"/>
      <c r="T83" s="17"/>
      <c r="U83" s="17"/>
      <c r="V83" s="17"/>
      <c r="W83" s="17"/>
      <c r="X83" s="17"/>
      <c r="Y83" s="17"/>
      <c r="Z83" s="17"/>
      <c r="AA83" s="236">
        <v>86</v>
      </c>
      <c r="AB83" s="237" t="s">
        <v>227</v>
      </c>
      <c r="AC83" s="35">
        <v>26383282.385550346</v>
      </c>
      <c r="AD83" s="35">
        <v>5884</v>
      </c>
      <c r="AE83" s="35">
        <v>5280519.120000001</v>
      </c>
      <c r="AF83" s="35">
        <v>1178</v>
      </c>
      <c r="AG83" s="35">
        <v>9572014.5699999966</v>
      </c>
      <c r="AH83" s="35">
        <v>2135</v>
      </c>
      <c r="AI83" s="35">
        <v>46089852.735550344</v>
      </c>
      <c r="AJ83" s="35">
        <v>10279</v>
      </c>
      <c r="AK83" s="72">
        <f>VLOOKUP(AA83,'FY 2018 TABLE 15'!$A$11:$M$146,6,FALSE)-AC83</f>
        <v>552735.13377093896</v>
      </c>
      <c r="AL83" s="72">
        <f>VLOOKUP(AA83,'FY 2018 TABLE 15'!$A$11:$M$146,7,FALSE)-AD83</f>
        <v>290</v>
      </c>
      <c r="AM83" s="72">
        <f>VLOOKUP(AA83,'FY 2018 TABLE 15'!$A$11:$M$146,10,FALSE)-AE83</f>
        <v>-4141.7700000014156</v>
      </c>
      <c r="AN83" s="72">
        <f>VLOOKUP(AA83,'FY 2018 TABLE 15'!$A$11:$M$146,11,FALSE)-AF83</f>
        <v>31</v>
      </c>
      <c r="AO83" s="72">
        <f>VLOOKUP(AA83,'FY 2018 TABLE 15'!$A$11:$M$146,4,FALSE)-AG83</f>
        <v>779391.35000001267</v>
      </c>
      <c r="AP83" s="72">
        <f>VLOOKUP(AA83,'FY 2018 TABLE 15'!$A$11:$M$146,5,FALSE)-AH83</f>
        <v>238</v>
      </c>
      <c r="AQ83" s="72">
        <f>VLOOKUP(AA83,'FY 2018 TABLE 15'!$A$11:$M$146,12,FALSE)-AI83</f>
        <v>1288782.4737709537</v>
      </c>
      <c r="AR83" s="73">
        <f>VLOOKUP(AA83,'FY 2018 TABLE 15'!$A$11:$M$146,13,FALSE)-AJ83</f>
        <v>580</v>
      </c>
    </row>
    <row r="84" spans="1:44" s="24" customFormat="1" ht="15.75" x14ac:dyDescent="0.25">
      <c r="A84" s="279"/>
      <c r="B84" s="279"/>
      <c r="C84" s="279"/>
      <c r="D84" s="279"/>
      <c r="E84" s="279"/>
      <c r="F84" s="279"/>
      <c r="G84" s="279"/>
      <c r="H84" s="279"/>
      <c r="I84" s="65"/>
      <c r="J84" s="22"/>
      <c r="K84" s="17"/>
      <c r="L84" s="17"/>
      <c r="M84" s="17"/>
      <c r="N84" s="17"/>
      <c r="O84" s="17"/>
      <c r="P84" s="17"/>
      <c r="Q84" s="17"/>
      <c r="R84" s="17"/>
      <c r="S84" s="17"/>
      <c r="T84" s="17"/>
      <c r="U84" s="17"/>
      <c r="V84" s="17"/>
      <c r="W84" s="17"/>
      <c r="X84" s="17"/>
      <c r="Y84" s="17"/>
      <c r="Z84" s="17"/>
      <c r="AA84" s="236">
        <v>87</v>
      </c>
      <c r="AB84" s="237" t="s">
        <v>228</v>
      </c>
      <c r="AC84" s="35">
        <v>15892147.173592359</v>
      </c>
      <c r="AD84" s="35">
        <v>5765</v>
      </c>
      <c r="AE84" s="35">
        <v>2481018.35</v>
      </c>
      <c r="AF84" s="35">
        <v>900</v>
      </c>
      <c r="AG84" s="35">
        <v>11772863.129999999</v>
      </c>
      <c r="AH84" s="35">
        <v>4271</v>
      </c>
      <c r="AI84" s="35">
        <v>32899778.713592358</v>
      </c>
      <c r="AJ84" s="35">
        <v>11935</v>
      </c>
      <c r="AK84" s="72">
        <f>VLOOKUP(AA84,'FY 2018 TABLE 15'!$A$11:$M$146,6,FALSE)-AC84</f>
        <v>360776.32877434418</v>
      </c>
      <c r="AL84" s="72">
        <f>VLOOKUP(AA84,'FY 2018 TABLE 15'!$A$11:$M$146,7,FALSE)-AD84</f>
        <v>13</v>
      </c>
      <c r="AM84" s="72">
        <f>VLOOKUP(AA84,'FY 2018 TABLE 15'!$A$11:$M$146,10,FALSE)-AE84</f>
        <v>175845</v>
      </c>
      <c r="AN84" s="72">
        <f>VLOOKUP(AA84,'FY 2018 TABLE 15'!$A$11:$M$146,11,FALSE)-AF84</f>
        <v>45</v>
      </c>
      <c r="AO84" s="72">
        <f>VLOOKUP(AA84,'FY 2018 TABLE 15'!$A$11:$M$146,4,FALSE)-AG84</f>
        <v>-2450722.9699999988</v>
      </c>
      <c r="AP84" s="72">
        <f>VLOOKUP(AA84,'FY 2018 TABLE 15'!$A$11:$M$146,5,FALSE)-AH84</f>
        <v>-957</v>
      </c>
      <c r="AQ84" s="72">
        <f>VLOOKUP(AA84,'FY 2018 TABLE 15'!$A$11:$M$146,12,FALSE)-AI84</f>
        <v>-1945337.8012256548</v>
      </c>
      <c r="AR84" s="73">
        <f>VLOOKUP(AA84,'FY 2018 TABLE 15'!$A$11:$M$146,13,FALSE)-AJ84</f>
        <v>-930</v>
      </c>
    </row>
    <row r="85" spans="1:44" s="24" customFormat="1" ht="15.75" x14ac:dyDescent="0.25">
      <c r="A85" s="279"/>
      <c r="B85" s="279"/>
      <c r="C85" s="279"/>
      <c r="D85" s="279"/>
      <c r="E85" s="279"/>
      <c r="F85" s="279"/>
      <c r="G85" s="279"/>
      <c r="H85" s="279"/>
      <c r="I85" s="65"/>
      <c r="J85" s="22"/>
      <c r="K85" s="17"/>
      <c r="L85" s="17"/>
      <c r="M85" s="17"/>
      <c r="N85" s="17"/>
      <c r="O85" s="17"/>
      <c r="P85" s="17"/>
      <c r="Q85" s="17"/>
      <c r="R85" s="17"/>
      <c r="S85" s="17"/>
      <c r="T85" s="17"/>
      <c r="U85" s="17"/>
      <c r="V85" s="17"/>
      <c r="W85" s="17"/>
      <c r="X85" s="17"/>
      <c r="Y85" s="17"/>
      <c r="Z85" s="17"/>
      <c r="AA85" s="236">
        <v>88</v>
      </c>
      <c r="AB85" s="237" t="s">
        <v>229</v>
      </c>
      <c r="AC85" s="35">
        <v>101385003.95820317</v>
      </c>
      <c r="AD85" s="35">
        <v>4298</v>
      </c>
      <c r="AE85" s="35">
        <v>14930672.299999997</v>
      </c>
      <c r="AF85" s="35">
        <v>633</v>
      </c>
      <c r="AG85" s="35">
        <v>115316596.58999997</v>
      </c>
      <c r="AH85" s="35">
        <v>4888</v>
      </c>
      <c r="AI85" s="35">
        <v>256496857.17820314</v>
      </c>
      <c r="AJ85" s="35">
        <v>10873</v>
      </c>
      <c r="AK85" s="72">
        <f>VLOOKUP(AA85,'FY 2018 TABLE 15'!$A$11:$M$146,6,FALSE)-AC85</f>
        <v>4995406.9921677411</v>
      </c>
      <c r="AL85" s="72">
        <f>VLOOKUP(AA85,'FY 2018 TABLE 15'!$A$11:$M$146,7,FALSE)-AD85</f>
        <v>187</v>
      </c>
      <c r="AM85" s="72">
        <f>VLOOKUP(AA85,'FY 2018 TABLE 15'!$A$11:$M$146,10,FALSE)-AE85</f>
        <v>626452.43000000343</v>
      </c>
      <c r="AN85" s="72">
        <f>VLOOKUP(AA85,'FY 2018 TABLE 15'!$A$11:$M$146,11,FALSE)-AF85</f>
        <v>23</v>
      </c>
      <c r="AO85" s="72">
        <f>VLOOKUP(AA85,'FY 2018 TABLE 15'!$A$11:$M$146,4,FALSE)-AG85</f>
        <v>-4132904.6500003636</v>
      </c>
      <c r="AP85" s="72">
        <f>VLOOKUP(AA85,'FY 2018 TABLE 15'!$A$11:$M$146,5,FALSE)-AH85</f>
        <v>-200</v>
      </c>
      <c r="AQ85" s="72">
        <f>VLOOKUP(AA85,'FY 2018 TABLE 15'!$A$11:$M$146,12,FALSE)-AI85</f>
        <v>2216316.7121673822</v>
      </c>
      <c r="AR85" s="73">
        <f>VLOOKUP(AA85,'FY 2018 TABLE 15'!$A$11:$M$146,13,FALSE)-AJ85</f>
        <v>35</v>
      </c>
    </row>
    <row r="86" spans="1:44" s="24" customFormat="1" ht="15.75" x14ac:dyDescent="0.25">
      <c r="A86" s="279"/>
      <c r="B86" s="279"/>
      <c r="C86" s="279"/>
      <c r="D86" s="279"/>
      <c r="E86" s="279"/>
      <c r="F86" s="279"/>
      <c r="G86" s="279"/>
      <c r="H86" s="279"/>
      <c r="I86" s="65"/>
      <c r="J86" s="22"/>
      <c r="K86" s="17"/>
      <c r="L86" s="17"/>
      <c r="M86" s="17"/>
      <c r="N86" s="17"/>
      <c r="O86" s="17"/>
      <c r="P86" s="17"/>
      <c r="Q86" s="17"/>
      <c r="R86" s="17"/>
      <c r="S86" s="17"/>
      <c r="T86" s="17"/>
      <c r="U86" s="17"/>
      <c r="V86" s="17"/>
      <c r="W86" s="17"/>
      <c r="X86" s="17"/>
      <c r="Y86" s="17"/>
      <c r="Z86" s="17"/>
      <c r="AA86" s="236">
        <v>89</v>
      </c>
      <c r="AB86" s="237" t="s">
        <v>230</v>
      </c>
      <c r="AC86" s="35">
        <v>120918633.78195903</v>
      </c>
      <c r="AD86" s="35">
        <v>4238</v>
      </c>
      <c r="AE86" s="35">
        <v>17306423.640000001</v>
      </c>
      <c r="AF86" s="35">
        <v>607</v>
      </c>
      <c r="AG86" s="35">
        <v>133615275.73999999</v>
      </c>
      <c r="AH86" s="35">
        <v>4683</v>
      </c>
      <c r="AI86" s="35">
        <v>300520815.56195903</v>
      </c>
      <c r="AJ86" s="35">
        <v>10533</v>
      </c>
      <c r="AK86" s="72">
        <f>VLOOKUP(AA86,'FY 2018 TABLE 15'!$A$11:$M$146,6,FALSE)-AC86</f>
        <v>8253524.9643040746</v>
      </c>
      <c r="AL86" s="72">
        <f>VLOOKUP(AA86,'FY 2018 TABLE 15'!$A$11:$M$146,7,FALSE)-AD86</f>
        <v>212</v>
      </c>
      <c r="AM86" s="72">
        <f>VLOOKUP(AA86,'FY 2018 TABLE 15'!$A$11:$M$146,10,FALSE)-AE86</f>
        <v>1040492.6799999997</v>
      </c>
      <c r="AN86" s="72">
        <f>VLOOKUP(AA86,'FY 2018 TABLE 15'!$A$11:$M$146,11,FALSE)-AF86</f>
        <v>25</v>
      </c>
      <c r="AO86" s="72">
        <f>VLOOKUP(AA86,'FY 2018 TABLE 15'!$A$11:$M$146,4,FALSE)-AG86</f>
        <v>-11351226.520000085</v>
      </c>
      <c r="AP86" s="72">
        <f>VLOOKUP(AA86,'FY 2018 TABLE 15'!$A$11:$M$146,5,FALSE)-AH86</f>
        <v>-471</v>
      </c>
      <c r="AQ86" s="72">
        <f>VLOOKUP(AA86,'FY 2018 TABLE 15'!$A$11:$M$146,12,FALSE)-AI86</f>
        <v>-3128576.0456960201</v>
      </c>
      <c r="AR86" s="73">
        <f>VLOOKUP(AA86,'FY 2018 TABLE 15'!$A$11:$M$146,13,FALSE)-AJ86</f>
        <v>-288</v>
      </c>
    </row>
    <row r="87" spans="1:44" s="24" customFormat="1" ht="15.75" x14ac:dyDescent="0.25">
      <c r="A87" s="279"/>
      <c r="B87" s="279"/>
      <c r="C87" s="279"/>
      <c r="D87" s="279"/>
      <c r="E87" s="279"/>
      <c r="F87" s="279"/>
      <c r="G87" s="279"/>
      <c r="H87" s="279"/>
      <c r="I87" s="65"/>
      <c r="J87" s="22"/>
      <c r="K87" s="17"/>
      <c r="L87" s="17"/>
      <c r="M87" s="17"/>
      <c r="N87" s="17"/>
      <c r="O87" s="17"/>
      <c r="P87" s="17"/>
      <c r="Q87" s="17"/>
      <c r="R87" s="17"/>
      <c r="S87" s="17"/>
      <c r="T87" s="17"/>
      <c r="U87" s="17"/>
      <c r="V87" s="17"/>
      <c r="W87" s="17"/>
      <c r="X87" s="17"/>
      <c r="Y87" s="17"/>
      <c r="Z87" s="17"/>
      <c r="AA87" s="236">
        <v>90</v>
      </c>
      <c r="AB87" s="237" t="s">
        <v>231</v>
      </c>
      <c r="AC87" s="35">
        <v>1607313.0458071053</v>
      </c>
      <c r="AD87" s="35">
        <v>1975</v>
      </c>
      <c r="AE87" s="35">
        <v>1258741.7600000002</v>
      </c>
      <c r="AF87" s="35">
        <v>1546</v>
      </c>
      <c r="AG87" s="35">
        <v>11643380.330000002</v>
      </c>
      <c r="AH87" s="35">
        <v>14304</v>
      </c>
      <c r="AI87" s="35">
        <v>15503103.075807106</v>
      </c>
      <c r="AJ87" s="35">
        <v>19045</v>
      </c>
      <c r="AK87" s="72">
        <f>VLOOKUP(AA87,'FY 2018 TABLE 15'!$A$11:$M$146,6,FALSE)-AC87</f>
        <v>109611.00718797394</v>
      </c>
      <c r="AL87" s="72">
        <f>VLOOKUP(AA87,'FY 2018 TABLE 15'!$A$11:$M$146,7,FALSE)-AD87</f>
        <v>198</v>
      </c>
      <c r="AM87" s="72">
        <f>VLOOKUP(AA87,'FY 2018 TABLE 15'!$A$11:$M$146,10,FALSE)-AE87</f>
        <v>-158130.53000000049</v>
      </c>
      <c r="AN87" s="72">
        <f>VLOOKUP(AA87,'FY 2018 TABLE 15'!$A$11:$M$146,11,FALSE)-AF87</f>
        <v>-153</v>
      </c>
      <c r="AO87" s="72">
        <f>VLOOKUP(AA87,'FY 2018 TABLE 15'!$A$11:$M$146,4,FALSE)-AG87</f>
        <v>1064167.0799999945</v>
      </c>
      <c r="AP87" s="72">
        <f>VLOOKUP(AA87,'FY 2018 TABLE 15'!$A$11:$M$146,5,FALSE)-AH87</f>
        <v>1779</v>
      </c>
      <c r="AQ87" s="72">
        <f>VLOOKUP(AA87,'FY 2018 TABLE 15'!$A$11:$M$146,12,FALSE)-AI87</f>
        <v>930311.51718796976</v>
      </c>
      <c r="AR87" s="73">
        <f>VLOOKUP(AA87,'FY 2018 TABLE 15'!$A$11:$M$146,13,FALSE)-AJ87</f>
        <v>1754</v>
      </c>
    </row>
    <row r="88" spans="1:44" s="24" customFormat="1" ht="15.75" x14ac:dyDescent="0.25">
      <c r="A88" s="279"/>
      <c r="B88" s="279"/>
      <c r="C88" s="279"/>
      <c r="D88" s="279"/>
      <c r="E88" s="279"/>
      <c r="F88" s="279"/>
      <c r="G88" s="279"/>
      <c r="H88" s="279"/>
      <c r="I88" s="65"/>
      <c r="J88" s="22"/>
      <c r="K88" s="17"/>
      <c r="L88" s="17"/>
      <c r="M88" s="17"/>
      <c r="N88" s="17"/>
      <c r="O88" s="17"/>
      <c r="P88" s="17"/>
      <c r="Q88" s="17"/>
      <c r="R88" s="17"/>
      <c r="S88" s="17"/>
      <c r="T88" s="17"/>
      <c r="U88" s="17"/>
      <c r="V88" s="17"/>
      <c r="W88" s="17"/>
      <c r="X88" s="17"/>
      <c r="Y88" s="17"/>
      <c r="Z88" s="17"/>
      <c r="AA88" s="236">
        <v>91</v>
      </c>
      <c r="AB88" s="237" t="s">
        <v>232</v>
      </c>
      <c r="AC88" s="35">
        <v>6897133.2399832597</v>
      </c>
      <c r="AD88" s="35">
        <v>6280</v>
      </c>
      <c r="AE88" s="35">
        <v>1917095.5700000003</v>
      </c>
      <c r="AF88" s="35">
        <v>1745</v>
      </c>
      <c r="AG88" s="35">
        <v>8084981.4699999988</v>
      </c>
      <c r="AH88" s="35">
        <v>7361</v>
      </c>
      <c r="AI88" s="35">
        <v>18279322.41998326</v>
      </c>
      <c r="AJ88" s="35">
        <v>16643</v>
      </c>
      <c r="AK88" s="72">
        <f>VLOOKUP(AA88,'FY 2018 TABLE 15'!$A$11:$M$146,6,FALSE)-AC88</f>
        <v>-128365.20110843517</v>
      </c>
      <c r="AL88" s="72">
        <f>VLOOKUP(AA88,'FY 2018 TABLE 15'!$A$11:$M$146,7,FALSE)-AD88</f>
        <v>49</v>
      </c>
      <c r="AM88" s="72">
        <f>VLOOKUP(AA88,'FY 2018 TABLE 15'!$A$11:$M$146,10,FALSE)-AE88</f>
        <v>66514.139999999665</v>
      </c>
      <c r="AN88" s="72">
        <f>VLOOKUP(AA88,'FY 2018 TABLE 15'!$A$11:$M$146,11,FALSE)-AF88</f>
        <v>110</v>
      </c>
      <c r="AO88" s="72">
        <f>VLOOKUP(AA88,'FY 2018 TABLE 15'!$A$11:$M$146,4,FALSE)-AG88</f>
        <v>449808.87999999523</v>
      </c>
      <c r="AP88" s="72">
        <f>VLOOKUP(AA88,'FY 2018 TABLE 15'!$A$11:$M$146,5,FALSE)-AH88</f>
        <v>620</v>
      </c>
      <c r="AQ88" s="72">
        <f>VLOOKUP(AA88,'FY 2018 TABLE 15'!$A$11:$M$146,12,FALSE)-AI88</f>
        <v>307696.05889155716</v>
      </c>
      <c r="AR88" s="73">
        <f>VLOOKUP(AA88,'FY 2018 TABLE 15'!$A$11:$M$146,13,FALSE)-AJ88</f>
        <v>737</v>
      </c>
    </row>
    <row r="89" spans="1:44" ht="15.75" x14ac:dyDescent="0.25">
      <c r="A89" s="279"/>
      <c r="B89" s="279"/>
      <c r="C89" s="279"/>
      <c r="D89" s="279"/>
      <c r="E89" s="279"/>
      <c r="F89" s="279"/>
      <c r="G89" s="279"/>
      <c r="H89" s="279"/>
      <c r="I89" s="65"/>
      <c r="J89" s="22"/>
      <c r="K89" s="17"/>
      <c r="L89" s="17"/>
      <c r="M89" s="17"/>
      <c r="N89" s="17"/>
      <c r="O89" s="17"/>
      <c r="P89" s="17"/>
      <c r="Q89" s="17"/>
      <c r="R89" s="17"/>
      <c r="S89" s="17"/>
      <c r="T89" s="17"/>
      <c r="U89" s="17"/>
      <c r="V89" s="17"/>
      <c r="W89" s="17"/>
      <c r="X89" s="17"/>
      <c r="Y89" s="17"/>
      <c r="Z89" s="17"/>
      <c r="AA89" s="236">
        <v>92</v>
      </c>
      <c r="AB89" s="237" t="s">
        <v>233</v>
      </c>
      <c r="AC89" s="35">
        <v>31867137.664250977</v>
      </c>
      <c r="AD89" s="35">
        <v>5421</v>
      </c>
      <c r="AE89" s="35">
        <v>6048714.5399999991</v>
      </c>
      <c r="AF89" s="35">
        <v>1029</v>
      </c>
      <c r="AG89" s="35">
        <v>13921716.18</v>
      </c>
      <c r="AH89" s="35">
        <v>2368</v>
      </c>
      <c r="AI89" s="35">
        <v>58399903.304250978</v>
      </c>
      <c r="AJ89" s="35">
        <v>9934</v>
      </c>
      <c r="AK89" s="72">
        <f>VLOOKUP(AA89,'FY 2018 TABLE 15'!$A$11:$M$146,6,FALSE)-AC89</f>
        <v>-2485894.5762183629</v>
      </c>
      <c r="AL89" s="72">
        <f>VLOOKUP(AA89,'FY 2018 TABLE 15'!$A$11:$M$146,7,FALSE)-AD89</f>
        <v>-299</v>
      </c>
      <c r="AM89" s="72">
        <f>VLOOKUP(AA89,'FY 2018 TABLE 15'!$A$11:$M$146,10,FALSE)-AE89</f>
        <v>-52540.669999998063</v>
      </c>
      <c r="AN89" s="72">
        <f>VLOOKUP(AA89,'FY 2018 TABLE 15'!$A$11:$M$146,11,FALSE)-AF89</f>
        <v>16</v>
      </c>
      <c r="AO89" s="72">
        <f>VLOOKUP(AA89,'FY 2018 TABLE 15'!$A$11:$M$146,4,FALSE)-AG89</f>
        <v>1800670.7200000212</v>
      </c>
      <c r="AP89" s="72">
        <f>VLOOKUP(AA89,'FY 2018 TABLE 15'!$A$11:$M$146,5,FALSE)-AH89</f>
        <v>373</v>
      </c>
      <c r="AQ89" s="72">
        <f>VLOOKUP(AA89,'FY 2018 TABLE 15'!$A$11:$M$146,12,FALSE)-AI89</f>
        <v>-698934.68621834368</v>
      </c>
      <c r="AR89" s="73">
        <f>VLOOKUP(AA89,'FY 2018 TABLE 15'!$A$11:$M$146,13,FALSE)-AJ89</f>
        <v>126</v>
      </c>
    </row>
    <row r="90" spans="1:44" ht="15.75" x14ac:dyDescent="0.25">
      <c r="A90" s="279"/>
      <c r="B90" s="279"/>
      <c r="C90" s="279"/>
      <c r="D90" s="279"/>
      <c r="E90" s="279"/>
      <c r="F90" s="279"/>
      <c r="G90" s="279"/>
      <c r="H90" s="279"/>
      <c r="I90" s="65"/>
      <c r="J90" s="22"/>
      <c r="K90" s="17"/>
      <c r="L90" s="17"/>
      <c r="M90" s="17"/>
      <c r="N90" s="17"/>
      <c r="O90" s="17"/>
      <c r="P90" s="17"/>
      <c r="Q90" s="17"/>
      <c r="R90" s="17"/>
      <c r="S90" s="17"/>
      <c r="T90" s="17"/>
      <c r="U90" s="17"/>
      <c r="V90" s="17"/>
      <c r="W90" s="17"/>
      <c r="X90" s="17"/>
      <c r="Y90" s="17"/>
      <c r="Z90" s="17"/>
      <c r="AA90" s="236">
        <v>93</v>
      </c>
      <c r="AB90" s="237" t="s">
        <v>234</v>
      </c>
      <c r="AC90" s="35">
        <v>21639990.331129361</v>
      </c>
      <c r="AD90" s="35">
        <v>4020</v>
      </c>
      <c r="AE90" s="35">
        <v>4025560.4099999997</v>
      </c>
      <c r="AF90" s="35">
        <v>748</v>
      </c>
      <c r="AG90" s="35">
        <v>22626862.629999999</v>
      </c>
      <c r="AH90" s="35">
        <v>4203</v>
      </c>
      <c r="AI90" s="35">
        <v>54816358.611129358</v>
      </c>
      <c r="AJ90" s="35">
        <v>10182</v>
      </c>
      <c r="AK90" s="72">
        <f>VLOOKUP(AA90,'FY 2018 TABLE 15'!$A$11:$M$146,6,FALSE)-AC90</f>
        <v>1125173.5927933715</v>
      </c>
      <c r="AL90" s="72">
        <f>VLOOKUP(AA90,'FY 2018 TABLE 15'!$A$11:$M$146,7,FALSE)-AD90</f>
        <v>212</v>
      </c>
      <c r="AM90" s="72">
        <f>VLOOKUP(AA90,'FY 2018 TABLE 15'!$A$11:$M$146,10,FALSE)-AE90</f>
        <v>-316212.79999999935</v>
      </c>
      <c r="AN90" s="72">
        <f>VLOOKUP(AA90,'FY 2018 TABLE 15'!$A$11:$M$146,11,FALSE)-AF90</f>
        <v>-58</v>
      </c>
      <c r="AO90" s="72">
        <f>VLOOKUP(AA90,'FY 2018 TABLE 15'!$A$11:$M$146,4,FALSE)-AG90</f>
        <v>1830991.7300000191</v>
      </c>
      <c r="AP90" s="72">
        <f>VLOOKUP(AA90,'FY 2018 TABLE 15'!$A$11:$M$146,5,FALSE)-AH90</f>
        <v>344</v>
      </c>
      <c r="AQ90" s="72">
        <f>VLOOKUP(AA90,'FY 2018 TABLE 15'!$A$11:$M$146,12,FALSE)-AI90</f>
        <v>2333496.0827933922</v>
      </c>
      <c r="AR90" s="73">
        <f>VLOOKUP(AA90,'FY 2018 TABLE 15'!$A$11:$M$146,13,FALSE)-AJ90</f>
        <v>443</v>
      </c>
    </row>
    <row r="91" spans="1:44" s="11" customFormat="1" ht="15.75" x14ac:dyDescent="0.25">
      <c r="A91" s="279"/>
      <c r="B91" s="279"/>
      <c r="C91" s="279"/>
      <c r="D91" s="279"/>
      <c r="E91" s="279"/>
      <c r="F91" s="279"/>
      <c r="G91" s="279"/>
      <c r="H91" s="279"/>
      <c r="I91" s="66"/>
      <c r="J91" s="69"/>
      <c r="K91" s="18"/>
      <c r="L91" s="18"/>
      <c r="M91" s="18"/>
      <c r="N91" s="18"/>
      <c r="O91" s="18"/>
      <c r="P91" s="18"/>
      <c r="Q91" s="18"/>
      <c r="R91" s="18"/>
      <c r="S91" s="18"/>
      <c r="T91" s="18"/>
      <c r="U91" s="18"/>
      <c r="V91" s="18"/>
      <c r="W91" s="18"/>
      <c r="X91" s="18"/>
      <c r="Y91" s="18"/>
      <c r="Z91" s="18"/>
      <c r="AA91" s="236">
        <v>94</v>
      </c>
      <c r="AB91" s="237" t="s">
        <v>235</v>
      </c>
      <c r="AC91" s="35">
        <v>32510432.766456529</v>
      </c>
      <c r="AD91" s="35">
        <v>4497</v>
      </c>
      <c r="AE91" s="35">
        <v>6785928.0299999984</v>
      </c>
      <c r="AF91" s="35">
        <v>939</v>
      </c>
      <c r="AG91" s="35">
        <v>28169123.209999997</v>
      </c>
      <c r="AH91" s="35">
        <v>3896</v>
      </c>
      <c r="AI91" s="35">
        <v>75296355.646456525</v>
      </c>
      <c r="AJ91" s="35">
        <v>10415</v>
      </c>
      <c r="AK91" s="72">
        <f>VLOOKUP(AA91,'FY 2018 TABLE 15'!$A$11:$M$146,6,FALSE)-AC91</f>
        <v>1081386.5891824961</v>
      </c>
      <c r="AL91" s="72">
        <f>VLOOKUP(AA91,'FY 2018 TABLE 15'!$A$11:$M$146,7,FALSE)-AD91</f>
        <v>154</v>
      </c>
      <c r="AM91" s="72">
        <f>VLOOKUP(AA91,'FY 2018 TABLE 15'!$A$11:$M$146,10,FALSE)-AE91</f>
        <v>-731035.25999999698</v>
      </c>
      <c r="AN91" s="72">
        <f>VLOOKUP(AA91,'FY 2018 TABLE 15'!$A$11:$M$146,11,FALSE)-AF91</f>
        <v>-101</v>
      </c>
      <c r="AO91" s="72">
        <f>VLOOKUP(AA91,'FY 2018 TABLE 15'!$A$11:$M$146,4,FALSE)-AG91</f>
        <v>-453178.68000005558</v>
      </c>
      <c r="AP91" s="72">
        <f>VLOOKUP(AA91,'FY 2018 TABLE 15'!$A$11:$M$146,5,FALSE)-AH91</f>
        <v>-59</v>
      </c>
      <c r="AQ91" s="72">
        <f>VLOOKUP(AA91,'FY 2018 TABLE 15'!$A$11:$M$146,12,FALSE)-AI91</f>
        <v>-555578.56081755459</v>
      </c>
      <c r="AR91" s="73">
        <f>VLOOKUP(AA91,'FY 2018 TABLE 15'!$A$11:$M$146,13,FALSE)-AJ91</f>
        <v>-68</v>
      </c>
    </row>
    <row r="92" spans="1:44" s="11" customFormat="1" ht="15.75" x14ac:dyDescent="0.25">
      <c r="A92" s="23"/>
      <c r="B92" s="23"/>
      <c r="C92" s="23"/>
      <c r="D92" s="23"/>
      <c r="E92" s="23"/>
      <c r="F92" s="23"/>
      <c r="G92" s="23"/>
      <c r="H92" s="23"/>
      <c r="I92" s="66"/>
      <c r="J92" s="69"/>
      <c r="K92" s="18"/>
      <c r="L92" s="18"/>
      <c r="M92" s="18"/>
      <c r="N92" s="18"/>
      <c r="O92" s="18"/>
      <c r="P92" s="18"/>
      <c r="Q92" s="18"/>
      <c r="R92" s="18"/>
      <c r="S92" s="18"/>
      <c r="T92" s="18"/>
      <c r="U92" s="18"/>
      <c r="V92" s="18"/>
      <c r="W92" s="18"/>
      <c r="X92" s="18"/>
      <c r="Y92" s="18"/>
      <c r="Z92" s="18"/>
      <c r="AA92" s="236">
        <v>95</v>
      </c>
      <c r="AB92" s="237" t="s">
        <v>236</v>
      </c>
      <c r="AC92" s="35">
        <v>11169805.510447929</v>
      </c>
      <c r="AD92" s="35">
        <v>6698</v>
      </c>
      <c r="AE92" s="35">
        <v>2088922.7</v>
      </c>
      <c r="AF92" s="35">
        <v>1253</v>
      </c>
      <c r="AG92" s="35">
        <v>8437800.8399999999</v>
      </c>
      <c r="AH92" s="35">
        <v>5059</v>
      </c>
      <c r="AI92" s="35">
        <v>23562521.880447928</v>
      </c>
      <c r="AJ92" s="35">
        <v>14128</v>
      </c>
      <c r="AK92" s="72">
        <f>VLOOKUP(AA92,'FY 2018 TABLE 15'!$A$11:$M$146,6,FALSE)-AC92</f>
        <v>-415942.24218494445</v>
      </c>
      <c r="AL92" s="72">
        <f>VLOOKUP(AA92,'FY 2018 TABLE 15'!$A$11:$M$146,7,FALSE)-AD92</f>
        <v>21</v>
      </c>
      <c r="AM92" s="72">
        <f>VLOOKUP(AA92,'FY 2018 TABLE 15'!$A$11:$M$146,10,FALSE)-AE92</f>
        <v>-48790.450000000186</v>
      </c>
      <c r="AN92" s="72">
        <f>VLOOKUP(AA92,'FY 2018 TABLE 15'!$A$11:$M$146,11,FALSE)-AF92</f>
        <v>22</v>
      </c>
      <c r="AO92" s="72">
        <f>VLOOKUP(AA92,'FY 2018 TABLE 15'!$A$11:$M$146,4,FALSE)-AG92</f>
        <v>1453365.3699999992</v>
      </c>
      <c r="AP92" s="72">
        <f>VLOOKUP(AA92,'FY 2018 TABLE 15'!$A$11:$M$146,5,FALSE)-AH92</f>
        <v>1121</v>
      </c>
      <c r="AQ92" s="72">
        <f>VLOOKUP(AA92,'FY 2018 TABLE 15'!$A$11:$M$146,12,FALSE)-AI92</f>
        <v>911861.18781505525</v>
      </c>
      <c r="AR92" s="73">
        <f>VLOOKUP(AA92,'FY 2018 TABLE 15'!$A$11:$M$146,13,FALSE)-AJ92</f>
        <v>1163</v>
      </c>
    </row>
    <row r="93" spans="1:44" s="11" customFormat="1" ht="15.75" x14ac:dyDescent="0.25">
      <c r="A93" s="23"/>
      <c r="B93" s="23"/>
      <c r="C93" s="23"/>
      <c r="D93" s="23"/>
      <c r="E93" s="23"/>
      <c r="F93" s="23"/>
      <c r="G93" s="23"/>
      <c r="H93" s="23"/>
      <c r="I93" s="66"/>
      <c r="J93" s="69"/>
      <c r="K93" s="18"/>
      <c r="L93" s="18"/>
      <c r="M93" s="18"/>
      <c r="N93" s="18"/>
      <c r="O93" s="18"/>
      <c r="P93" s="18"/>
      <c r="Q93" s="18"/>
      <c r="R93" s="18"/>
      <c r="S93" s="18"/>
      <c r="T93" s="18"/>
      <c r="U93" s="18"/>
      <c r="V93" s="18"/>
      <c r="W93" s="18"/>
      <c r="X93" s="18"/>
      <c r="Y93" s="18"/>
      <c r="Z93" s="18"/>
      <c r="AA93" s="236">
        <v>96</v>
      </c>
      <c r="AB93" s="237" t="s">
        <v>237</v>
      </c>
      <c r="AC93" s="35">
        <v>30917148.609003585</v>
      </c>
      <c r="AD93" s="35">
        <v>5322</v>
      </c>
      <c r="AE93" s="35">
        <v>5928527.0099999998</v>
      </c>
      <c r="AF93" s="35">
        <v>1020</v>
      </c>
      <c r="AG93" s="35">
        <v>13073852.449999997</v>
      </c>
      <c r="AH93" s="35">
        <v>2250</v>
      </c>
      <c r="AI93" s="35">
        <v>55805136.849003583</v>
      </c>
      <c r="AJ93" s="35">
        <v>9606</v>
      </c>
      <c r="AK93" s="72">
        <f>VLOOKUP(AA93,'FY 2018 TABLE 15'!$A$11:$M$146,6,FALSE)-AC93</f>
        <v>1175926.4311028495</v>
      </c>
      <c r="AL93" s="72">
        <f>VLOOKUP(AA93,'FY 2018 TABLE 15'!$A$11:$M$146,7,FALSE)-AD93</f>
        <v>250</v>
      </c>
      <c r="AM93" s="72">
        <f>VLOOKUP(AA93,'FY 2018 TABLE 15'!$A$11:$M$146,10,FALSE)-AE93</f>
        <v>671085.97000000067</v>
      </c>
      <c r="AN93" s="72">
        <f>VLOOKUP(AA93,'FY 2018 TABLE 15'!$A$11:$M$146,11,FALSE)-AF93</f>
        <v>126</v>
      </c>
      <c r="AO93" s="72">
        <f>VLOOKUP(AA93,'FY 2018 TABLE 15'!$A$11:$M$146,4,FALSE)-AG93</f>
        <v>-1097909.8199999873</v>
      </c>
      <c r="AP93" s="72">
        <f>VLOOKUP(AA93,'FY 2018 TABLE 15'!$A$11:$M$146,5,FALSE)-AH93</f>
        <v>-171</v>
      </c>
      <c r="AQ93" s="72">
        <f>VLOOKUP(AA93,'FY 2018 TABLE 15'!$A$11:$M$146,12,FALSE)-AI93</f>
        <v>822219.00110286474</v>
      </c>
      <c r="AR93" s="73">
        <f>VLOOKUP(AA93,'FY 2018 TABLE 15'!$A$11:$M$146,13,FALSE)-AJ93</f>
        <v>226</v>
      </c>
    </row>
    <row r="94" spans="1:44" s="11" customFormat="1" ht="15.75" x14ac:dyDescent="0.25">
      <c r="A94" s="279"/>
      <c r="B94" s="279"/>
      <c r="C94" s="279"/>
      <c r="D94" s="279"/>
      <c r="E94" s="279"/>
      <c r="F94" s="279"/>
      <c r="G94" s="279"/>
      <c r="H94" s="279"/>
      <c r="I94" s="66"/>
      <c r="J94" s="69"/>
      <c r="K94" s="18"/>
      <c r="L94" s="18"/>
      <c r="M94" s="18"/>
      <c r="N94" s="18"/>
      <c r="O94" s="18"/>
      <c r="P94" s="18"/>
      <c r="Q94" s="18"/>
      <c r="R94" s="18"/>
      <c r="S94" s="18"/>
      <c r="T94" s="18"/>
      <c r="U94" s="18"/>
      <c r="V94" s="18"/>
      <c r="W94" s="18"/>
      <c r="X94" s="18"/>
      <c r="Y94" s="18"/>
      <c r="Z94" s="18"/>
      <c r="AA94" s="236">
        <v>97</v>
      </c>
      <c r="AB94" s="237" t="s">
        <v>238</v>
      </c>
      <c r="AC94" s="35">
        <v>20674449.925435398</v>
      </c>
      <c r="AD94" s="35">
        <v>4932</v>
      </c>
      <c r="AE94" s="35">
        <v>3392661.9000000004</v>
      </c>
      <c r="AF94" s="35">
        <v>809</v>
      </c>
      <c r="AG94" s="35">
        <v>14508250.83</v>
      </c>
      <c r="AH94" s="35">
        <v>3461</v>
      </c>
      <c r="AI94" s="35">
        <v>43006238.155435398</v>
      </c>
      <c r="AJ94" s="35">
        <v>10259</v>
      </c>
      <c r="AK94" s="72">
        <f>VLOOKUP(AA94,'FY 2018 TABLE 15'!$A$11:$M$146,6,FALSE)-AC94</f>
        <v>234466.86842699721</v>
      </c>
      <c r="AL94" s="72">
        <f>VLOOKUP(AA94,'FY 2018 TABLE 15'!$A$11:$M$146,7,FALSE)-AD94</f>
        <v>135</v>
      </c>
      <c r="AM94" s="72">
        <f>VLOOKUP(AA94,'FY 2018 TABLE 15'!$A$11:$M$146,10,FALSE)-AE94</f>
        <v>-90792.08000000054</v>
      </c>
      <c r="AN94" s="72">
        <f>VLOOKUP(AA94,'FY 2018 TABLE 15'!$A$11:$M$146,11,FALSE)-AF94</f>
        <v>-9</v>
      </c>
      <c r="AO94" s="72">
        <f>VLOOKUP(AA94,'FY 2018 TABLE 15'!$A$11:$M$146,4,FALSE)-AG94</f>
        <v>732329.54000000469</v>
      </c>
      <c r="AP94" s="72">
        <f>VLOOKUP(AA94,'FY 2018 TABLE 15'!$A$11:$M$146,5,FALSE)-AH94</f>
        <v>233</v>
      </c>
      <c r="AQ94" s="72">
        <f>VLOOKUP(AA94,'FY 2018 TABLE 15'!$A$11:$M$146,12,FALSE)-AI94</f>
        <v>925510.90842700005</v>
      </c>
      <c r="AR94" s="73">
        <f>VLOOKUP(AA94,'FY 2018 TABLE 15'!$A$11:$M$146,13,FALSE)-AJ94</f>
        <v>388</v>
      </c>
    </row>
    <row r="95" spans="1:44" s="11" customFormat="1" ht="15.75" x14ac:dyDescent="0.25">
      <c r="A95" s="279"/>
      <c r="B95" s="279"/>
      <c r="C95" s="279"/>
      <c r="D95" s="279"/>
      <c r="E95" s="279"/>
      <c r="F95" s="279"/>
      <c r="G95" s="279"/>
      <c r="H95" s="279"/>
      <c r="I95" s="66"/>
      <c r="J95" s="69"/>
      <c r="K95" s="18"/>
      <c r="L95" s="18"/>
      <c r="M95" s="18"/>
      <c r="N95" s="18"/>
      <c r="O95" s="18"/>
      <c r="P95" s="18"/>
      <c r="Q95" s="18"/>
      <c r="R95" s="18"/>
      <c r="S95" s="18"/>
      <c r="T95" s="18"/>
      <c r="U95" s="18"/>
      <c r="V95" s="18"/>
      <c r="W95" s="18"/>
      <c r="X95" s="18"/>
      <c r="Y95" s="18"/>
      <c r="Z95" s="18"/>
      <c r="AA95" s="236">
        <v>98</v>
      </c>
      <c r="AB95" s="237" t="s">
        <v>239</v>
      </c>
      <c r="AC95" s="35">
        <v>49621162.157149598</v>
      </c>
      <c r="AD95" s="35">
        <v>3896</v>
      </c>
      <c r="AE95" s="35">
        <v>15764430.849999998</v>
      </c>
      <c r="AF95" s="35">
        <v>1238</v>
      </c>
      <c r="AG95" s="35">
        <v>53535348.290000021</v>
      </c>
      <c r="AH95" s="35">
        <v>4203</v>
      </c>
      <c r="AI95" s="35">
        <v>131784825.04714961</v>
      </c>
      <c r="AJ95" s="35">
        <v>10346</v>
      </c>
      <c r="AK95" s="72">
        <f>VLOOKUP(AA95,'FY 2018 TABLE 15'!$A$11:$M$146,6,FALSE)-AC95</f>
        <v>2398629.8403723091</v>
      </c>
      <c r="AL95" s="72">
        <f>VLOOKUP(AA95,'FY 2018 TABLE 15'!$A$11:$M$146,7,FALSE)-AD95</f>
        <v>187</v>
      </c>
      <c r="AM95" s="72">
        <f>VLOOKUP(AA95,'FY 2018 TABLE 15'!$A$11:$M$146,10,FALSE)-AE95</f>
        <v>-1136855.9799999949</v>
      </c>
      <c r="AN95" s="72">
        <f>VLOOKUP(AA95,'FY 2018 TABLE 15'!$A$11:$M$146,11,FALSE)-AF95</f>
        <v>-90</v>
      </c>
      <c r="AO95" s="72">
        <f>VLOOKUP(AA95,'FY 2018 TABLE 15'!$A$11:$M$146,4,FALSE)-AG95</f>
        <v>3386900.3199999034</v>
      </c>
      <c r="AP95" s="72">
        <f>VLOOKUP(AA95,'FY 2018 TABLE 15'!$A$11:$M$146,5,FALSE)-AH95</f>
        <v>265</v>
      </c>
      <c r="AQ95" s="72">
        <f>VLOOKUP(AA95,'FY 2018 TABLE 15'!$A$11:$M$146,12,FALSE)-AI95</f>
        <v>5389973.5903722197</v>
      </c>
      <c r="AR95" s="73">
        <f>VLOOKUP(AA95,'FY 2018 TABLE 15'!$A$11:$M$146,13,FALSE)-AJ95</f>
        <v>420</v>
      </c>
    </row>
    <row r="96" spans="1:44" s="11" customFormat="1" ht="15.75" x14ac:dyDescent="0.25">
      <c r="A96" s="279"/>
      <c r="B96" s="279"/>
      <c r="C96" s="279"/>
      <c r="D96" s="279"/>
      <c r="E96" s="279"/>
      <c r="F96" s="279"/>
      <c r="G96" s="279"/>
      <c r="H96" s="279"/>
      <c r="I96" s="66"/>
      <c r="J96" s="69"/>
      <c r="K96" s="18"/>
      <c r="L96" s="18"/>
      <c r="M96" s="18"/>
      <c r="N96" s="18"/>
      <c r="O96" s="18"/>
      <c r="P96" s="18"/>
      <c r="Q96" s="18"/>
      <c r="R96" s="18"/>
      <c r="S96" s="18"/>
      <c r="T96" s="18"/>
      <c r="U96" s="18"/>
      <c r="V96" s="18"/>
      <c r="W96" s="18"/>
      <c r="X96" s="18"/>
      <c r="Y96" s="18"/>
      <c r="Z96" s="18"/>
      <c r="AA96" s="238">
        <v>101</v>
      </c>
      <c r="AB96" s="239" t="s">
        <v>241</v>
      </c>
      <c r="AC96" s="35">
        <v>26184557.949999999</v>
      </c>
      <c r="AD96" s="35">
        <v>1698</v>
      </c>
      <c r="AE96" s="35">
        <v>15797546.350000001</v>
      </c>
      <c r="AF96" s="35">
        <v>1024</v>
      </c>
      <c r="AG96" s="35">
        <v>212366810.31999999</v>
      </c>
      <c r="AH96" s="35">
        <v>13772</v>
      </c>
      <c r="AI96" s="35">
        <v>270366504.95999998</v>
      </c>
      <c r="AJ96" s="35">
        <v>17533</v>
      </c>
      <c r="AK96" s="72">
        <f>VLOOKUP(AA96,'FY 2018 TABLE 15'!$A$11:$M$146,6,FALSE)-AC96</f>
        <v>2479513.7300000079</v>
      </c>
      <c r="AL96" s="72">
        <f>VLOOKUP(AA96,'FY 2018 TABLE 15'!$A$11:$M$146,7,FALSE)-AD96</f>
        <v>144</v>
      </c>
      <c r="AM96" s="72">
        <f>VLOOKUP(AA96,'FY 2018 TABLE 15'!$A$11:$M$146,10,FALSE)-AE96</f>
        <v>493210.75000000186</v>
      </c>
      <c r="AN96" s="72">
        <f>VLOOKUP(AA96,'FY 2018 TABLE 15'!$A$11:$M$146,11,FALSE)-AF96</f>
        <v>23</v>
      </c>
      <c r="AO96" s="72">
        <f>VLOOKUP(AA96,'FY 2018 TABLE 15'!$A$11:$M$146,4,FALSE)-AG96</f>
        <v>2688221.9699999094</v>
      </c>
      <c r="AP96" s="72">
        <f>VLOOKUP(AA96,'FY 2018 TABLE 15'!$A$11:$M$146,5,FALSE)-AH96</f>
        <v>50</v>
      </c>
      <c r="AQ96" s="72">
        <f>VLOOKUP(AA96,'FY 2018 TABLE 15'!$A$11:$M$146,12,FALSE)-AI96</f>
        <v>6861729.2099999189</v>
      </c>
      <c r="AR96" s="73">
        <f>VLOOKUP(AA96,'FY 2018 TABLE 15'!$A$11:$M$146,13,FALSE)-AJ96</f>
        <v>285</v>
      </c>
    </row>
    <row r="97" spans="1:44" s="11" customFormat="1" ht="15.75" x14ac:dyDescent="0.25">
      <c r="A97" s="279"/>
      <c r="B97" s="279"/>
      <c r="C97" s="279"/>
      <c r="D97" s="279"/>
      <c r="E97" s="279"/>
      <c r="F97" s="279"/>
      <c r="G97" s="279"/>
      <c r="H97" s="279"/>
      <c r="I97" s="66"/>
      <c r="J97" s="69"/>
      <c r="K97" s="18"/>
      <c r="L97" s="18"/>
      <c r="M97" s="18"/>
      <c r="N97" s="18"/>
      <c r="O97" s="18"/>
      <c r="P97" s="18"/>
      <c r="Q97" s="18"/>
      <c r="R97" s="18"/>
      <c r="S97" s="18"/>
      <c r="T97" s="18"/>
      <c r="U97" s="18"/>
      <c r="V97" s="18"/>
      <c r="W97" s="18"/>
      <c r="X97" s="18"/>
      <c r="Y97" s="18"/>
      <c r="Z97" s="18"/>
      <c r="AA97" s="236">
        <v>102</v>
      </c>
      <c r="AB97" s="237" t="s">
        <v>242</v>
      </c>
      <c r="AC97" s="35">
        <v>12418211.043447286</v>
      </c>
      <c r="AD97" s="35">
        <v>5479</v>
      </c>
      <c r="AE97" s="35">
        <v>3404674.1700000004</v>
      </c>
      <c r="AF97" s="35">
        <v>1502</v>
      </c>
      <c r="AG97" s="35">
        <v>6176759.4900000002</v>
      </c>
      <c r="AH97" s="35">
        <v>2725</v>
      </c>
      <c r="AI97" s="35">
        <v>24707362.363447286</v>
      </c>
      <c r="AJ97" s="35">
        <v>10901</v>
      </c>
      <c r="AK97" s="72">
        <f>VLOOKUP(AA97,'FY 2018 TABLE 15'!$A$11:$M$146,6,FALSE)-AC97</f>
        <v>38854.573671041057</v>
      </c>
      <c r="AL97" s="72">
        <f>VLOOKUP(AA97,'FY 2018 TABLE 15'!$A$11:$M$146,7,FALSE)-AD97</f>
        <v>35</v>
      </c>
      <c r="AM97" s="72">
        <f>VLOOKUP(AA97,'FY 2018 TABLE 15'!$A$11:$M$146,10,FALSE)-AE97</f>
        <v>215725.30000000028</v>
      </c>
      <c r="AN97" s="72">
        <f>VLOOKUP(AA97,'FY 2018 TABLE 15'!$A$11:$M$146,11,FALSE)-AF97</f>
        <v>100</v>
      </c>
      <c r="AO97" s="72">
        <f>VLOOKUP(AA97,'FY 2018 TABLE 15'!$A$11:$M$146,4,FALSE)-AG97</f>
        <v>573802.11999997683</v>
      </c>
      <c r="AP97" s="72">
        <f>VLOOKUP(AA97,'FY 2018 TABLE 15'!$A$11:$M$146,5,FALSE)-AH97</f>
        <v>263</v>
      </c>
      <c r="AQ97" s="72">
        <f>VLOOKUP(AA97,'FY 2018 TABLE 15'!$A$11:$M$146,12,FALSE)-AI97</f>
        <v>772402.99367101863</v>
      </c>
      <c r="AR97" s="73">
        <f>VLOOKUP(AA97,'FY 2018 TABLE 15'!$A$11:$M$146,13,FALSE)-AJ97</f>
        <v>376</v>
      </c>
    </row>
    <row r="98" spans="1:44" s="11" customFormat="1" ht="15.75" x14ac:dyDescent="0.25">
      <c r="A98" s="279"/>
      <c r="B98" s="279"/>
      <c r="C98" s="279"/>
      <c r="D98" s="279"/>
      <c r="E98" s="279"/>
      <c r="F98" s="279"/>
      <c r="G98" s="279"/>
      <c r="H98" s="279"/>
      <c r="I98" s="66"/>
      <c r="J98" s="69"/>
      <c r="K98" s="18"/>
      <c r="L98" s="18"/>
      <c r="M98" s="18"/>
      <c r="N98" s="18"/>
      <c r="O98" s="18"/>
      <c r="P98" s="18"/>
      <c r="Q98" s="18"/>
      <c r="R98" s="18"/>
      <c r="S98" s="18"/>
      <c r="T98" s="18"/>
      <c r="U98" s="18"/>
      <c r="V98" s="18"/>
      <c r="W98" s="18"/>
      <c r="X98" s="18"/>
      <c r="Y98" s="18"/>
      <c r="Z98" s="18"/>
      <c r="AA98" s="236">
        <v>103</v>
      </c>
      <c r="AB98" s="237" t="s">
        <v>243</v>
      </c>
      <c r="AC98" s="35">
        <v>6000063.996771113</v>
      </c>
      <c r="AD98" s="35">
        <v>6387</v>
      </c>
      <c r="AE98" s="35">
        <v>936943.68999999983</v>
      </c>
      <c r="AF98" s="35">
        <v>997</v>
      </c>
      <c r="AG98" s="35">
        <v>1560946.8199999998</v>
      </c>
      <c r="AH98" s="35">
        <v>1662</v>
      </c>
      <c r="AI98" s="35">
        <v>9556337.6267711129</v>
      </c>
      <c r="AJ98" s="35">
        <v>10173</v>
      </c>
      <c r="AK98" s="72">
        <f>VLOOKUP(AA98,'FY 2018 TABLE 15'!$A$11:$M$146,6,FALSE)-AC98</f>
        <v>53707.208725030534</v>
      </c>
      <c r="AL98" s="72">
        <f>VLOOKUP(AA98,'FY 2018 TABLE 15'!$A$11:$M$146,7,FALSE)-AD98</f>
        <v>172</v>
      </c>
      <c r="AM98" s="72">
        <f>VLOOKUP(AA98,'FY 2018 TABLE 15'!$A$11:$M$146,10,FALSE)-AE98</f>
        <v>112291.92000000004</v>
      </c>
      <c r="AN98" s="72">
        <f>VLOOKUP(AA98,'FY 2018 TABLE 15'!$A$11:$M$146,11,FALSE)-AF98</f>
        <v>140</v>
      </c>
      <c r="AO98" s="72">
        <f>VLOOKUP(AA98,'FY 2018 TABLE 15'!$A$11:$M$146,4,FALSE)-AG98</f>
        <v>-140377.11999999685</v>
      </c>
      <c r="AP98" s="72">
        <f>VLOOKUP(AA98,'FY 2018 TABLE 15'!$A$11:$M$146,5,FALSE)-AH98</f>
        <v>-123</v>
      </c>
      <c r="AQ98" s="72">
        <f>VLOOKUP(AA98,'FY 2018 TABLE 15'!$A$11:$M$146,12,FALSE)-AI98</f>
        <v>-24169.171274967492</v>
      </c>
      <c r="AR98" s="73">
        <f>VLOOKUP(AA98,'FY 2018 TABLE 15'!$A$11:$M$146,13,FALSE)-AJ98</f>
        <v>154</v>
      </c>
    </row>
    <row r="99" spans="1:44" s="11" customFormat="1" ht="15.75" x14ac:dyDescent="0.25">
      <c r="A99" s="279"/>
      <c r="B99" s="279"/>
      <c r="C99" s="279"/>
      <c r="D99" s="279"/>
      <c r="E99" s="279"/>
      <c r="F99" s="279"/>
      <c r="G99" s="279"/>
      <c r="H99" s="279"/>
      <c r="I99" s="66"/>
      <c r="J99" s="69"/>
      <c r="K99" s="18"/>
      <c r="L99" s="18"/>
      <c r="M99" s="18"/>
      <c r="N99" s="18"/>
      <c r="O99" s="18"/>
      <c r="P99" s="18"/>
      <c r="Q99" s="18"/>
      <c r="R99" s="18"/>
      <c r="S99" s="18"/>
      <c r="T99" s="18"/>
      <c r="U99" s="18"/>
      <c r="V99" s="18"/>
      <c r="W99" s="18"/>
      <c r="X99" s="18"/>
      <c r="Y99" s="18"/>
      <c r="Z99" s="18"/>
      <c r="AA99" s="236">
        <v>104</v>
      </c>
      <c r="AB99" s="237" t="s">
        <v>244</v>
      </c>
      <c r="AC99" s="35">
        <v>12262890.519999996</v>
      </c>
      <c r="AD99" s="35">
        <v>2772</v>
      </c>
      <c r="AE99" s="35">
        <v>4952980.1499999994</v>
      </c>
      <c r="AF99" s="35">
        <v>1119</v>
      </c>
      <c r="AG99" s="35">
        <v>50792682.799999997</v>
      </c>
      <c r="AH99" s="35">
        <v>11480</v>
      </c>
      <c r="AI99" s="35">
        <v>72754650.069999993</v>
      </c>
      <c r="AJ99" s="35">
        <v>16444</v>
      </c>
      <c r="AK99" s="72">
        <f>VLOOKUP(AA99,'FY 2018 TABLE 15'!$A$11:$M$146,6,FALSE)-AC99</f>
        <v>376756.30000000447</v>
      </c>
      <c r="AL99" s="72">
        <f>VLOOKUP(AA99,'FY 2018 TABLE 15'!$A$11:$M$146,7,FALSE)-AD99</f>
        <v>70</v>
      </c>
      <c r="AM99" s="72">
        <f>VLOOKUP(AA99,'FY 2018 TABLE 15'!$A$11:$M$146,10,FALSE)-AE99</f>
        <v>-242824.58000000007</v>
      </c>
      <c r="AN99" s="72">
        <f>VLOOKUP(AA99,'FY 2018 TABLE 15'!$A$11:$M$146,11,FALSE)-AF99</f>
        <v>-60</v>
      </c>
      <c r="AO99" s="72">
        <f>VLOOKUP(AA99,'FY 2018 TABLE 15'!$A$11:$M$146,4,FALSE)-AG99</f>
        <v>2779745.6400000528</v>
      </c>
      <c r="AP99" s="72">
        <f>VLOOKUP(AA99,'FY 2018 TABLE 15'!$A$11:$M$146,5,FALSE)-AH99</f>
        <v>564</v>
      </c>
      <c r="AQ99" s="72">
        <f>VLOOKUP(AA99,'FY 2018 TABLE 15'!$A$11:$M$146,12,FALSE)-AI99</f>
        <v>3213552.3000000566</v>
      </c>
      <c r="AR99" s="73">
        <f>VLOOKUP(AA99,'FY 2018 TABLE 15'!$A$11:$M$146,13,FALSE)-AJ99</f>
        <v>635</v>
      </c>
    </row>
    <row r="100" spans="1:44" s="11" customFormat="1" ht="15.75" x14ac:dyDescent="0.25">
      <c r="A100" s="279"/>
      <c r="B100" s="279"/>
      <c r="C100" s="279"/>
      <c r="D100" s="279"/>
      <c r="E100" s="279"/>
      <c r="F100" s="279"/>
      <c r="G100" s="279"/>
      <c r="H100" s="279"/>
      <c r="I100" s="66"/>
      <c r="J100" s="69"/>
      <c r="K100" s="18"/>
      <c r="L100" s="18"/>
      <c r="M100" s="18"/>
      <c r="N100" s="18"/>
      <c r="O100" s="18"/>
      <c r="P100" s="18"/>
      <c r="Q100" s="18"/>
      <c r="R100" s="18"/>
      <c r="S100" s="18"/>
      <c r="T100" s="18"/>
      <c r="U100" s="18"/>
      <c r="V100" s="18"/>
      <c r="W100" s="18"/>
      <c r="X100" s="18"/>
      <c r="Y100" s="18"/>
      <c r="Z100" s="18"/>
      <c r="AA100" s="236">
        <v>106</v>
      </c>
      <c r="AB100" s="237" t="s">
        <v>273</v>
      </c>
      <c r="AC100" s="35">
        <v>11861314.093641445</v>
      </c>
      <c r="AD100" s="35">
        <v>4211</v>
      </c>
      <c r="AE100" s="35">
        <v>2214880.4299999997</v>
      </c>
      <c r="AF100" s="35">
        <v>786</v>
      </c>
      <c r="AG100" s="35">
        <v>18711799.579999998</v>
      </c>
      <c r="AH100" s="35">
        <v>6643</v>
      </c>
      <c r="AI100" s="35">
        <v>35598485.023641445</v>
      </c>
      <c r="AJ100" s="35">
        <v>12637</v>
      </c>
      <c r="AK100" s="72">
        <f>VLOOKUP(AA100,'FY 2018 TABLE 15'!$A$11:$M$146,6,FALSE)-AC100</f>
        <v>539885.35045805946</v>
      </c>
      <c r="AL100" s="72">
        <f>VLOOKUP(AA100,'FY 2018 TABLE 15'!$A$11:$M$146,7,FALSE)-AD100</f>
        <v>182</v>
      </c>
      <c r="AM100" s="72">
        <f>VLOOKUP(AA100,'FY 2018 TABLE 15'!$A$11:$M$146,10,FALSE)-AE100</f>
        <v>58524.220000000205</v>
      </c>
      <c r="AN100" s="72">
        <f>VLOOKUP(AA100,'FY 2018 TABLE 15'!$A$11:$M$146,11,FALSE)-AF100</f>
        <v>19</v>
      </c>
      <c r="AO100" s="72">
        <f>VLOOKUP(AA100,'FY 2018 TABLE 15'!$A$11:$M$146,4,FALSE)-AG100</f>
        <v>2122678.6200000122</v>
      </c>
      <c r="AP100" s="72">
        <f>VLOOKUP(AA100,'FY 2018 TABLE 15'!$A$11:$M$146,5,FALSE)-AH100</f>
        <v>738</v>
      </c>
      <c r="AQ100" s="72">
        <f>VLOOKUP(AA100,'FY 2018 TABLE 15'!$A$11:$M$146,12,FALSE)-AI100</f>
        <v>2643795.7904580683</v>
      </c>
      <c r="AR100" s="73">
        <f>VLOOKUP(AA100,'FY 2018 TABLE 15'!$A$11:$M$146,13,FALSE)-AJ100</f>
        <v>911</v>
      </c>
    </row>
    <row r="101" spans="1:44" s="11" customFormat="1" ht="15.75" x14ac:dyDescent="0.25">
      <c r="A101" s="279"/>
      <c r="B101" s="279"/>
      <c r="C101" s="279"/>
      <c r="D101" s="279"/>
      <c r="E101" s="279"/>
      <c r="F101" s="279"/>
      <c r="G101" s="279"/>
      <c r="H101" s="279"/>
      <c r="I101" s="66"/>
      <c r="J101" s="69"/>
      <c r="K101" s="18"/>
      <c r="L101" s="18"/>
      <c r="M101" s="18"/>
      <c r="N101" s="18"/>
      <c r="O101" s="18"/>
      <c r="P101" s="18"/>
      <c r="Q101" s="18"/>
      <c r="R101" s="18"/>
      <c r="S101" s="18"/>
      <c r="T101" s="18"/>
      <c r="U101" s="18"/>
      <c r="V101" s="18"/>
      <c r="W101" s="18"/>
      <c r="X101" s="18"/>
      <c r="Y101" s="18"/>
      <c r="Z101" s="18"/>
      <c r="AA101" s="236">
        <v>107</v>
      </c>
      <c r="AB101" s="237" t="s">
        <v>246</v>
      </c>
      <c r="AC101" s="35">
        <v>5587159.2090934366</v>
      </c>
      <c r="AD101" s="35">
        <v>5402</v>
      </c>
      <c r="AE101" s="35">
        <v>979055.03</v>
      </c>
      <c r="AF101" s="35">
        <v>947</v>
      </c>
      <c r="AG101" s="35">
        <v>4289280.41</v>
      </c>
      <c r="AH101" s="35">
        <v>4147</v>
      </c>
      <c r="AI101" s="35">
        <v>11838299.109093437</v>
      </c>
      <c r="AJ101" s="35">
        <v>11446</v>
      </c>
      <c r="AK101" s="72">
        <f>VLOOKUP(AA101,'FY 2018 TABLE 15'!$A$11:$M$146,6,FALSE)-AC101</f>
        <v>251992.15758022573</v>
      </c>
      <c r="AL101" s="72">
        <f>VLOOKUP(AA101,'FY 2018 TABLE 15'!$A$11:$M$146,7,FALSE)-AD101</f>
        <v>305</v>
      </c>
      <c r="AM101" s="72">
        <f>VLOOKUP(AA101,'FY 2018 TABLE 15'!$A$11:$M$146,10,FALSE)-AE101</f>
        <v>-62465.010000000009</v>
      </c>
      <c r="AN101" s="72">
        <f>VLOOKUP(AA101,'FY 2018 TABLE 15'!$A$11:$M$146,11,FALSE)-AF101</f>
        <v>-51</v>
      </c>
      <c r="AO101" s="72">
        <f>VLOOKUP(AA101,'FY 2018 TABLE 15'!$A$11:$M$146,4,FALSE)-AG101</f>
        <v>-275122.82999999821</v>
      </c>
      <c r="AP101" s="72">
        <f>VLOOKUP(AA101,'FY 2018 TABLE 15'!$A$11:$M$146,5,FALSE)-AH101</f>
        <v>-224</v>
      </c>
      <c r="AQ101" s="72">
        <f>VLOOKUP(AA101,'FY 2018 TABLE 15'!$A$11:$M$146,12,FALSE)-AI101</f>
        <v>-154693.92241977341</v>
      </c>
      <c r="AR101" s="73">
        <f>VLOOKUP(AA101,'FY 2018 TABLE 15'!$A$11:$M$146,13,FALSE)-AJ101</f>
        <v>-28</v>
      </c>
    </row>
    <row r="102" spans="1:44" s="11" customFormat="1" ht="15.75" x14ac:dyDescent="0.25">
      <c r="A102" s="279"/>
      <c r="B102" s="279"/>
      <c r="C102" s="279"/>
      <c r="D102" s="279"/>
      <c r="E102" s="279"/>
      <c r="F102" s="279"/>
      <c r="G102" s="279"/>
      <c r="H102" s="279"/>
      <c r="I102" s="66"/>
      <c r="J102" s="69"/>
      <c r="K102" s="18"/>
      <c r="L102" s="18"/>
      <c r="M102" s="18"/>
      <c r="N102" s="18"/>
      <c r="O102" s="18"/>
      <c r="P102" s="18"/>
      <c r="Q102" s="18"/>
      <c r="R102" s="18"/>
      <c r="S102" s="18"/>
      <c r="T102" s="18"/>
      <c r="U102" s="18"/>
      <c r="V102" s="18"/>
      <c r="W102" s="18"/>
      <c r="X102" s="18"/>
      <c r="Y102" s="18"/>
      <c r="Z102" s="18"/>
      <c r="AA102" s="236">
        <v>108</v>
      </c>
      <c r="AB102" s="237" t="s">
        <v>247</v>
      </c>
      <c r="AC102" s="35">
        <v>33897343.569390252</v>
      </c>
      <c r="AD102" s="35">
        <v>5795</v>
      </c>
      <c r="AE102" s="35">
        <v>9850415.6700000018</v>
      </c>
      <c r="AF102" s="35">
        <v>1684</v>
      </c>
      <c r="AG102" s="35">
        <v>17558530.380000003</v>
      </c>
      <c r="AH102" s="35">
        <v>3002</v>
      </c>
      <c r="AI102" s="35">
        <v>67880494.579390258</v>
      </c>
      <c r="AJ102" s="35">
        <v>11605</v>
      </c>
      <c r="AK102" s="72">
        <f>VLOOKUP(AA102,'FY 2018 TABLE 15'!$A$11:$M$146,6,FALSE)-AC102</f>
        <v>-135763.97259312868</v>
      </c>
      <c r="AL102" s="72">
        <f>VLOOKUP(AA102,'FY 2018 TABLE 15'!$A$11:$M$146,7,FALSE)-AD102</f>
        <v>60</v>
      </c>
      <c r="AM102" s="72">
        <f>VLOOKUP(AA102,'FY 2018 TABLE 15'!$A$11:$M$146,10,FALSE)-AE102</f>
        <v>706856.72999999486</v>
      </c>
      <c r="AN102" s="72">
        <f>VLOOKUP(AA102,'FY 2018 TABLE 15'!$A$11:$M$146,11,FALSE)-AF102</f>
        <v>147</v>
      </c>
      <c r="AO102" s="72">
        <f>VLOOKUP(AA102,'FY 2018 TABLE 15'!$A$11:$M$146,4,FALSE)-AG102</f>
        <v>2806879.7699999809</v>
      </c>
      <c r="AP102" s="72">
        <f>VLOOKUP(AA102,'FY 2018 TABLE 15'!$A$11:$M$146,5,FALSE)-AH102</f>
        <v>530</v>
      </c>
      <c r="AQ102" s="72">
        <f>VLOOKUP(AA102,'FY 2018 TABLE 15'!$A$11:$M$146,12,FALSE)-AI102</f>
        <v>3468858.5474068522</v>
      </c>
      <c r="AR102" s="73">
        <f>VLOOKUP(AA102,'FY 2018 TABLE 15'!$A$11:$M$146,13,FALSE)-AJ102</f>
        <v>769</v>
      </c>
    </row>
    <row r="103" spans="1:44" s="11" customFormat="1" ht="15.75" x14ac:dyDescent="0.25">
      <c r="A103" s="279"/>
      <c r="B103" s="279"/>
      <c r="C103" s="279"/>
      <c r="D103" s="279"/>
      <c r="E103" s="279"/>
      <c r="F103" s="279"/>
      <c r="G103" s="279"/>
      <c r="H103" s="279"/>
      <c r="I103" s="66"/>
      <c r="J103" s="69"/>
      <c r="K103" s="18"/>
      <c r="L103" s="18"/>
      <c r="M103" s="18"/>
      <c r="N103" s="18"/>
      <c r="O103" s="18"/>
      <c r="P103" s="18"/>
      <c r="Q103" s="18"/>
      <c r="R103" s="18"/>
      <c r="S103" s="18"/>
      <c r="T103" s="18"/>
      <c r="U103" s="18"/>
      <c r="V103" s="18"/>
      <c r="W103" s="18"/>
      <c r="X103" s="18"/>
      <c r="Y103" s="18"/>
      <c r="Z103" s="18"/>
      <c r="AA103" s="236">
        <v>109</v>
      </c>
      <c r="AB103" s="237" t="s">
        <v>248</v>
      </c>
      <c r="AC103" s="35">
        <v>3757676.1831431426</v>
      </c>
      <c r="AD103" s="35">
        <v>1402</v>
      </c>
      <c r="AE103" s="35">
        <v>605577.79</v>
      </c>
      <c r="AF103" s="35">
        <v>226</v>
      </c>
      <c r="AG103" s="35">
        <v>42387799.109999999</v>
      </c>
      <c r="AH103" s="35">
        <v>15820</v>
      </c>
      <c r="AI103" s="35">
        <v>49414258.963143148</v>
      </c>
      <c r="AJ103" s="35">
        <v>18442</v>
      </c>
      <c r="AK103" s="72">
        <f>VLOOKUP(AA103,'FY 2018 TABLE 15'!$A$11:$M$146,6,FALSE)-AC103</f>
        <v>94312.377312907483</v>
      </c>
      <c r="AL103" s="72">
        <f>VLOOKUP(AA103,'FY 2018 TABLE 15'!$A$11:$M$146,7,FALSE)-AD103</f>
        <v>39</v>
      </c>
      <c r="AM103" s="72">
        <f>VLOOKUP(AA103,'FY 2018 TABLE 15'!$A$11:$M$146,10,FALSE)-AE103</f>
        <v>-55387.510000000009</v>
      </c>
      <c r="AN103" s="72">
        <f>VLOOKUP(AA103,'FY 2018 TABLE 15'!$A$11:$M$146,11,FALSE)-AF103</f>
        <v>-20</v>
      </c>
      <c r="AO103" s="72">
        <f>VLOOKUP(AA103,'FY 2018 TABLE 15'!$A$11:$M$146,4,FALSE)-AG103</f>
        <v>1622685.4599999934</v>
      </c>
      <c r="AP103" s="72">
        <f>VLOOKUP(AA103,'FY 2018 TABLE 15'!$A$11:$M$146,5,FALSE)-AH103</f>
        <v>643</v>
      </c>
      <c r="AQ103" s="72">
        <f>VLOOKUP(AA103,'FY 2018 TABLE 15'!$A$11:$M$146,12,FALSE)-AI103</f>
        <v>1610462.9273128957</v>
      </c>
      <c r="AR103" s="73">
        <f>VLOOKUP(AA103,'FY 2018 TABLE 15'!$A$11:$M$146,13,FALSE)-AJ103</f>
        <v>645</v>
      </c>
    </row>
    <row r="104" spans="1:44" s="11" customFormat="1" ht="15.75" x14ac:dyDescent="0.25">
      <c r="A104" s="279"/>
      <c r="B104" s="279"/>
      <c r="C104" s="279"/>
      <c r="D104" s="279"/>
      <c r="E104" s="279"/>
      <c r="F104" s="279"/>
      <c r="G104" s="279"/>
      <c r="H104" s="279"/>
      <c r="I104" s="66"/>
      <c r="J104" s="69"/>
      <c r="K104" s="18"/>
      <c r="L104" s="18"/>
      <c r="M104" s="18"/>
      <c r="N104" s="18"/>
      <c r="O104" s="18"/>
      <c r="P104" s="18"/>
      <c r="Q104" s="18"/>
      <c r="R104" s="18"/>
      <c r="S104" s="18"/>
      <c r="T104" s="18"/>
      <c r="U104" s="18"/>
      <c r="V104" s="18"/>
      <c r="W104" s="18"/>
      <c r="X104" s="18"/>
      <c r="Y104" s="18"/>
      <c r="Z104" s="18"/>
      <c r="AA104" s="236">
        <v>110</v>
      </c>
      <c r="AB104" s="237" t="s">
        <v>274</v>
      </c>
      <c r="AC104" s="35">
        <v>10693499.949999997</v>
      </c>
      <c r="AD104" s="35">
        <v>3016</v>
      </c>
      <c r="AE104" s="35">
        <v>4809138.8899999997</v>
      </c>
      <c r="AF104" s="35">
        <v>1356</v>
      </c>
      <c r="AG104" s="35">
        <v>28778891.18</v>
      </c>
      <c r="AH104" s="35">
        <v>8116</v>
      </c>
      <c r="AI104" s="35">
        <v>47862313.939999998</v>
      </c>
      <c r="AJ104" s="35">
        <v>13498</v>
      </c>
      <c r="AK104" s="72">
        <f>VLOOKUP(AA104,'FY 2018 TABLE 15'!$A$11:$M$146,6,FALSE)-AC104</f>
        <v>472925.8200000003</v>
      </c>
      <c r="AL104" s="72">
        <f>VLOOKUP(AA104,'FY 2018 TABLE 15'!$A$11:$M$146,7,FALSE)-AD104</f>
        <v>88</v>
      </c>
      <c r="AM104" s="72">
        <f>VLOOKUP(AA104,'FY 2018 TABLE 15'!$A$11:$M$146,10,FALSE)-AE104</f>
        <v>35648.75</v>
      </c>
      <c r="AN104" s="72">
        <f>VLOOKUP(AA104,'FY 2018 TABLE 15'!$A$11:$M$146,11,FALSE)-AF104</f>
        <v>-9</v>
      </c>
      <c r="AO104" s="72">
        <f>VLOOKUP(AA104,'FY 2018 TABLE 15'!$A$11:$M$146,4,FALSE)-AG104</f>
        <v>1372561.6900000274</v>
      </c>
      <c r="AP104" s="72">
        <f>VLOOKUP(AA104,'FY 2018 TABLE 15'!$A$11:$M$146,5,FALSE)-AH104</f>
        <v>266</v>
      </c>
      <c r="AQ104" s="72">
        <f>VLOOKUP(AA104,'FY 2018 TABLE 15'!$A$11:$M$146,12,FALSE)-AI104</f>
        <v>1690425.6600000262</v>
      </c>
      <c r="AR104" s="73">
        <f>VLOOKUP(AA104,'FY 2018 TABLE 15'!$A$11:$M$146,13,FALSE)-AJ104</f>
        <v>277</v>
      </c>
    </row>
    <row r="105" spans="1:44" s="11" customFormat="1" ht="15.75" x14ac:dyDescent="0.25">
      <c r="A105" s="279"/>
      <c r="B105" s="279"/>
      <c r="C105" s="279"/>
      <c r="D105" s="279"/>
      <c r="E105" s="279"/>
      <c r="F105" s="279"/>
      <c r="G105" s="279"/>
      <c r="H105" s="279"/>
      <c r="I105" s="66"/>
      <c r="J105" s="69"/>
      <c r="K105" s="18"/>
      <c r="L105" s="18"/>
      <c r="M105" s="18"/>
      <c r="N105" s="18"/>
      <c r="O105" s="18"/>
      <c r="P105" s="18"/>
      <c r="Q105" s="18"/>
      <c r="R105" s="18"/>
      <c r="S105" s="18"/>
      <c r="T105" s="18"/>
      <c r="U105" s="18"/>
      <c r="V105" s="18"/>
      <c r="W105" s="18"/>
      <c r="X105" s="18"/>
      <c r="Y105" s="18"/>
      <c r="Z105" s="18"/>
      <c r="AA105" s="236">
        <v>111</v>
      </c>
      <c r="AB105" s="237" t="s">
        <v>249</v>
      </c>
      <c r="AC105" s="35">
        <v>7746070.7452477645</v>
      </c>
      <c r="AD105" s="35">
        <v>5879</v>
      </c>
      <c r="AE105" s="35">
        <v>1680489.5</v>
      </c>
      <c r="AF105" s="35">
        <v>1276</v>
      </c>
      <c r="AG105" s="35">
        <v>3379271.2199999997</v>
      </c>
      <c r="AH105" s="35">
        <v>2565</v>
      </c>
      <c r="AI105" s="35">
        <v>13979085.665247764</v>
      </c>
      <c r="AJ105" s="35">
        <v>10610</v>
      </c>
      <c r="AK105" s="72">
        <f>VLOOKUP(AA105,'FY 2018 TABLE 15'!$A$11:$M$146,6,FALSE)-AC105</f>
        <v>158431.94978962373</v>
      </c>
      <c r="AL105" s="72">
        <f>VLOOKUP(AA105,'FY 2018 TABLE 15'!$A$11:$M$146,7,FALSE)-AD105</f>
        <v>209</v>
      </c>
      <c r="AM105" s="72">
        <f>VLOOKUP(AA105,'FY 2018 TABLE 15'!$A$11:$M$146,10,FALSE)-AE105</f>
        <v>150116.07000000007</v>
      </c>
      <c r="AN105" s="72">
        <f>VLOOKUP(AA105,'FY 2018 TABLE 15'!$A$11:$M$146,11,FALSE)-AF105</f>
        <v>134</v>
      </c>
      <c r="AO105" s="72">
        <f>VLOOKUP(AA105,'FY 2018 TABLE 15'!$A$11:$M$146,4,FALSE)-AG105</f>
        <v>662010.87000001501</v>
      </c>
      <c r="AP105" s="72">
        <f>VLOOKUP(AA105,'FY 2018 TABLE 15'!$A$11:$M$146,5,FALSE)-AH105</f>
        <v>548</v>
      </c>
      <c r="AQ105" s="72">
        <f>VLOOKUP(AA105,'FY 2018 TABLE 15'!$A$11:$M$146,12,FALSE)-AI105</f>
        <v>1012478.309789639</v>
      </c>
      <c r="AR105" s="73">
        <f>VLOOKUP(AA105,'FY 2018 TABLE 15'!$A$11:$M$146,13,FALSE)-AJ105</f>
        <v>937</v>
      </c>
    </row>
    <row r="106" spans="1:44" s="11" customFormat="1" ht="15.75" x14ac:dyDescent="0.25">
      <c r="A106" s="279"/>
      <c r="B106" s="279"/>
      <c r="C106" s="279"/>
      <c r="D106" s="279"/>
      <c r="E106" s="279"/>
      <c r="F106" s="279"/>
      <c r="G106" s="279"/>
      <c r="H106" s="279"/>
      <c r="I106" s="66"/>
      <c r="J106" s="69"/>
      <c r="K106" s="18"/>
      <c r="L106" s="18"/>
      <c r="M106" s="18"/>
      <c r="N106" s="18"/>
      <c r="O106" s="18"/>
      <c r="P106" s="18"/>
      <c r="Q106" s="18"/>
      <c r="R106" s="18"/>
      <c r="S106" s="18"/>
      <c r="T106" s="18"/>
      <c r="U106" s="18"/>
      <c r="V106" s="18"/>
      <c r="W106" s="18"/>
      <c r="X106" s="18"/>
      <c r="Y106" s="18"/>
      <c r="Z106" s="18"/>
      <c r="AA106" s="236">
        <v>112</v>
      </c>
      <c r="AB106" s="237" t="s">
        <v>250</v>
      </c>
      <c r="AC106" s="35">
        <v>102664550.17896581</v>
      </c>
      <c r="AD106" s="35">
        <v>5086</v>
      </c>
      <c r="AE106" s="35">
        <v>22271849.179999996</v>
      </c>
      <c r="AF106" s="35">
        <v>1103</v>
      </c>
      <c r="AG106" s="35">
        <v>77412219.24000001</v>
      </c>
      <c r="AH106" s="35">
        <v>3835</v>
      </c>
      <c r="AI106" s="35">
        <v>223988031.73896581</v>
      </c>
      <c r="AJ106" s="35">
        <v>11097</v>
      </c>
      <c r="AK106" s="72">
        <f>VLOOKUP(AA106,'FY 2018 TABLE 15'!$A$11:$M$146,6,FALSE)-AC106</f>
        <v>1467136.4100246131</v>
      </c>
      <c r="AL106" s="72">
        <f>VLOOKUP(AA106,'FY 2018 TABLE 15'!$A$11:$M$146,7,FALSE)-AD106</f>
        <v>173</v>
      </c>
      <c r="AM106" s="72">
        <f>VLOOKUP(AA106,'FY 2018 TABLE 15'!$A$11:$M$146,10,FALSE)-AE106</f>
        <v>591461.51000000164</v>
      </c>
      <c r="AN106" s="72">
        <f>VLOOKUP(AA106,'FY 2018 TABLE 15'!$A$11:$M$146,11,FALSE)-AF106</f>
        <v>52</v>
      </c>
      <c r="AO106" s="72">
        <f>VLOOKUP(AA106,'FY 2018 TABLE 15'!$A$11:$M$146,4,FALSE)-AG106</f>
        <v>-201733.60000008345</v>
      </c>
      <c r="AP106" s="72">
        <f>VLOOKUP(AA106,'FY 2018 TABLE 15'!$A$11:$M$146,5,FALSE)-AH106</f>
        <v>64</v>
      </c>
      <c r="AQ106" s="72">
        <f>VLOOKUP(AA106,'FY 2018 TABLE 15'!$A$11:$M$146,12,FALSE)-AI106</f>
        <v>1951706.6000245214</v>
      </c>
      <c r="AR106" s="73">
        <f>VLOOKUP(AA106,'FY 2018 TABLE 15'!$A$11:$M$146,13,FALSE)-AJ106</f>
        <v>314</v>
      </c>
    </row>
    <row r="107" spans="1:44" s="11" customFormat="1" ht="15.75" x14ac:dyDescent="0.25">
      <c r="A107" s="279"/>
      <c r="B107" s="279"/>
      <c r="C107" s="279"/>
      <c r="D107" s="279"/>
      <c r="E107" s="279"/>
      <c r="F107" s="279"/>
      <c r="G107" s="279"/>
      <c r="H107" s="279"/>
      <c r="I107" s="66"/>
      <c r="J107" s="69"/>
      <c r="K107" s="18"/>
      <c r="L107" s="18"/>
      <c r="M107" s="18"/>
      <c r="N107" s="18"/>
      <c r="O107" s="18"/>
      <c r="P107" s="18"/>
      <c r="Q107" s="18"/>
      <c r="R107" s="18"/>
      <c r="S107" s="18"/>
      <c r="T107" s="18"/>
      <c r="U107" s="18"/>
      <c r="V107" s="18"/>
      <c r="W107" s="18"/>
      <c r="X107" s="18"/>
      <c r="Y107" s="18"/>
      <c r="Z107" s="18"/>
      <c r="AA107" s="236">
        <v>113</v>
      </c>
      <c r="AB107" s="237" t="s">
        <v>251</v>
      </c>
      <c r="AC107" s="35">
        <v>30996313.096294995</v>
      </c>
      <c r="AD107" s="35">
        <v>5016</v>
      </c>
      <c r="AE107" s="35">
        <v>6507760.8999999994</v>
      </c>
      <c r="AF107" s="35">
        <v>1053</v>
      </c>
      <c r="AG107" s="35">
        <v>30493719.670000002</v>
      </c>
      <c r="AH107" s="35">
        <v>4935</v>
      </c>
      <c r="AI107" s="35">
        <v>73646642.766295001</v>
      </c>
      <c r="AJ107" s="35">
        <v>11918</v>
      </c>
      <c r="AK107" s="72">
        <f>VLOOKUP(AA107,'FY 2018 TABLE 15'!$A$11:$M$146,6,FALSE)-AC107</f>
        <v>1606721.6600499339</v>
      </c>
      <c r="AL107" s="72">
        <f>VLOOKUP(AA107,'FY 2018 TABLE 15'!$A$11:$M$146,7,FALSE)-AD107</f>
        <v>195</v>
      </c>
      <c r="AM107" s="72">
        <f>VLOOKUP(AA107,'FY 2018 TABLE 15'!$A$11:$M$146,10,FALSE)-AE107</f>
        <v>141262.45000000019</v>
      </c>
      <c r="AN107" s="72">
        <f>VLOOKUP(AA107,'FY 2018 TABLE 15'!$A$11:$M$146,11,FALSE)-AF107</f>
        <v>10</v>
      </c>
      <c r="AO107" s="72">
        <f>VLOOKUP(AA107,'FY 2018 TABLE 15'!$A$11:$M$146,4,FALSE)-AG107</f>
        <v>4587221.9099999145</v>
      </c>
      <c r="AP107" s="72">
        <f>VLOOKUP(AA107,'FY 2018 TABLE 15'!$A$11:$M$146,5,FALSE)-AH107</f>
        <v>672</v>
      </c>
      <c r="AQ107" s="72">
        <f>VLOOKUP(AA107,'FY 2018 TABLE 15'!$A$11:$M$146,12,FALSE)-AI107</f>
        <v>6609440.7000498474</v>
      </c>
      <c r="AR107" s="73">
        <f>VLOOKUP(AA107,'FY 2018 TABLE 15'!$A$11:$M$146,13,FALSE)-AJ107</f>
        <v>909</v>
      </c>
    </row>
    <row r="108" spans="1:44" s="11" customFormat="1" ht="15.75" x14ac:dyDescent="0.25">
      <c r="A108" s="279"/>
      <c r="B108" s="279"/>
      <c r="C108" s="279"/>
      <c r="D108" s="279"/>
      <c r="E108" s="279"/>
      <c r="F108" s="279"/>
      <c r="G108" s="279"/>
      <c r="H108" s="279"/>
      <c r="I108" s="66"/>
      <c r="J108" s="69"/>
      <c r="K108" s="18"/>
      <c r="L108" s="18"/>
      <c r="M108" s="18"/>
      <c r="N108" s="18"/>
      <c r="O108" s="18"/>
      <c r="P108" s="18"/>
      <c r="Q108" s="18"/>
      <c r="R108" s="18"/>
      <c r="S108" s="18"/>
      <c r="T108" s="18"/>
      <c r="U108" s="18"/>
      <c r="V108" s="18"/>
      <c r="W108" s="18"/>
      <c r="X108" s="18"/>
      <c r="Y108" s="18"/>
      <c r="Z108" s="18"/>
      <c r="AA108" s="236">
        <v>114</v>
      </c>
      <c r="AB108" s="237" t="s">
        <v>252</v>
      </c>
      <c r="AC108" s="35">
        <v>24611556.18070706</v>
      </c>
      <c r="AD108" s="35">
        <v>5777</v>
      </c>
      <c r="AE108" s="35">
        <v>7664022.3799999999</v>
      </c>
      <c r="AF108" s="35">
        <v>1799</v>
      </c>
      <c r="AG108" s="35">
        <v>11980160.550000001</v>
      </c>
      <c r="AH108" s="35">
        <v>2812</v>
      </c>
      <c r="AI108" s="35">
        <v>48283505.890707061</v>
      </c>
      <c r="AJ108" s="35">
        <v>11333</v>
      </c>
      <c r="AK108" s="72">
        <f>VLOOKUP(AA108,'FY 2018 TABLE 15'!$A$11:$M$146,6,FALSE)-AC108</f>
        <v>945530.84187110513</v>
      </c>
      <c r="AL108" s="72">
        <f>VLOOKUP(AA108,'FY 2018 TABLE 15'!$A$11:$M$146,7,FALSE)-AD108</f>
        <v>184</v>
      </c>
      <c r="AM108" s="72">
        <f>VLOOKUP(AA108,'FY 2018 TABLE 15'!$A$11:$M$146,10,FALSE)-AE108</f>
        <v>203477.74000000115</v>
      </c>
      <c r="AN108" s="72">
        <f>VLOOKUP(AA108,'FY 2018 TABLE 15'!$A$11:$M$146,11,FALSE)-AF108</f>
        <v>36</v>
      </c>
      <c r="AO108" s="72">
        <f>VLOOKUP(AA108,'FY 2018 TABLE 15'!$A$11:$M$146,4,FALSE)-AG108</f>
        <v>-127390.39000001922</v>
      </c>
      <c r="AP108" s="72">
        <f>VLOOKUP(AA108,'FY 2018 TABLE 15'!$A$11:$M$146,5,FALSE)-AH108</f>
        <v>-47</v>
      </c>
      <c r="AQ108" s="72">
        <f>VLOOKUP(AA108,'FY 2018 TABLE 15'!$A$11:$M$146,12,FALSE)-AI108</f>
        <v>917948.01187108457</v>
      </c>
      <c r="AR108" s="73">
        <f>VLOOKUP(AA108,'FY 2018 TABLE 15'!$A$11:$M$146,13,FALSE)-AJ108</f>
        <v>143</v>
      </c>
    </row>
    <row r="109" spans="1:44" s="11" customFormat="1" ht="15.75" x14ac:dyDescent="0.25">
      <c r="A109" s="279"/>
      <c r="B109" s="279"/>
      <c r="C109" s="279"/>
      <c r="D109" s="279"/>
      <c r="E109" s="279"/>
      <c r="F109" s="279"/>
      <c r="G109" s="279"/>
      <c r="H109" s="279"/>
      <c r="I109" s="66"/>
      <c r="J109" s="69"/>
      <c r="K109" s="18"/>
      <c r="L109" s="18"/>
      <c r="M109" s="18"/>
      <c r="N109" s="18"/>
      <c r="O109" s="18"/>
      <c r="P109" s="18"/>
      <c r="Q109" s="18"/>
      <c r="R109" s="18"/>
      <c r="S109" s="18"/>
      <c r="T109" s="18"/>
      <c r="U109" s="18"/>
      <c r="V109" s="18"/>
      <c r="W109" s="18"/>
      <c r="X109" s="18"/>
      <c r="Y109" s="18"/>
      <c r="Z109" s="18"/>
      <c r="AA109" s="236">
        <v>115</v>
      </c>
      <c r="AB109" s="237" t="s">
        <v>254</v>
      </c>
      <c r="AC109" s="35">
        <v>41175063.951954916</v>
      </c>
      <c r="AD109" s="35">
        <v>4903</v>
      </c>
      <c r="AE109" s="35">
        <v>14045328.330000002</v>
      </c>
      <c r="AF109" s="35">
        <v>1673</v>
      </c>
      <c r="AG109" s="35">
        <v>42355946.340000004</v>
      </c>
      <c r="AH109" s="35">
        <v>5044</v>
      </c>
      <c r="AI109" s="35">
        <v>108166982.88195492</v>
      </c>
      <c r="AJ109" s="35">
        <v>12881</v>
      </c>
      <c r="AK109" s="72">
        <f>VLOOKUP(AA109,'FY 2018 TABLE 15'!$A$11:$M$146,6,FALSE)-AC109</f>
        <v>1260412.5785665661</v>
      </c>
      <c r="AL109" s="72">
        <f>VLOOKUP(AA109,'FY 2018 TABLE 15'!$A$11:$M$146,7,FALSE)-AD109</f>
        <v>203</v>
      </c>
      <c r="AM109" s="72">
        <f>VLOOKUP(AA109,'FY 2018 TABLE 15'!$A$11:$M$146,10,FALSE)-AE109</f>
        <v>-579220.31000000425</v>
      </c>
      <c r="AN109" s="72">
        <f>VLOOKUP(AA109,'FY 2018 TABLE 15'!$A$11:$M$146,11,FALSE)-AF109</f>
        <v>-53</v>
      </c>
      <c r="AO109" s="72">
        <f>VLOOKUP(AA109,'FY 2018 TABLE 15'!$A$11:$M$146,4,FALSE)-AG109</f>
        <v>-1164587.5300000757</v>
      </c>
      <c r="AP109" s="72">
        <f>VLOOKUP(AA109,'FY 2018 TABLE 15'!$A$11:$M$146,5,FALSE)-AH109</f>
        <v>-88</v>
      </c>
      <c r="AQ109" s="72">
        <f>VLOOKUP(AA109,'FY 2018 TABLE 15'!$A$11:$M$146,12,FALSE)-AI109</f>
        <v>-381600.00143352151</v>
      </c>
      <c r="AR109" s="73">
        <f>VLOOKUP(AA109,'FY 2018 TABLE 15'!$A$11:$M$146,13,FALSE)-AJ109</f>
        <v>88</v>
      </c>
    </row>
    <row r="110" spans="1:44" s="11" customFormat="1" ht="15.75" x14ac:dyDescent="0.25">
      <c r="A110" s="279"/>
      <c r="B110" s="279"/>
      <c r="C110" s="279"/>
      <c r="D110" s="279"/>
      <c r="E110" s="279"/>
      <c r="F110" s="279"/>
      <c r="G110" s="279"/>
      <c r="H110" s="279"/>
      <c r="I110" s="66"/>
      <c r="J110" s="69"/>
      <c r="K110" s="18"/>
      <c r="L110" s="18"/>
      <c r="M110" s="18"/>
      <c r="N110" s="18"/>
      <c r="O110" s="18"/>
      <c r="P110" s="18"/>
      <c r="Q110" s="18"/>
      <c r="R110" s="18"/>
      <c r="S110" s="18"/>
      <c r="T110" s="18"/>
      <c r="U110" s="18"/>
      <c r="V110" s="18"/>
      <c r="W110" s="18"/>
      <c r="X110" s="18"/>
      <c r="Y110" s="18"/>
      <c r="Z110" s="18"/>
      <c r="AA110" s="236">
        <v>116</v>
      </c>
      <c r="AB110" s="237" t="s">
        <v>257</v>
      </c>
      <c r="AC110" s="35">
        <v>12651333.759879218</v>
      </c>
      <c r="AD110" s="35">
        <v>6236</v>
      </c>
      <c r="AE110" s="35">
        <v>2911063.54</v>
      </c>
      <c r="AF110" s="35">
        <v>1435</v>
      </c>
      <c r="AG110" s="35">
        <v>7456677.4499999983</v>
      </c>
      <c r="AH110" s="35">
        <v>3676</v>
      </c>
      <c r="AI110" s="35">
        <v>25195087.329879217</v>
      </c>
      <c r="AJ110" s="35">
        <v>12419</v>
      </c>
      <c r="AK110" s="72">
        <f>VLOOKUP(AA110,'FY 2018 TABLE 15'!$A$11:$M$146,6,FALSE)-AC110</f>
        <v>613591.96794418059</v>
      </c>
      <c r="AL110" s="72">
        <f>VLOOKUP(AA110,'FY 2018 TABLE 15'!$A$11:$M$146,7,FALSE)-AD110</f>
        <v>333</v>
      </c>
      <c r="AM110" s="72">
        <f>VLOOKUP(AA110,'FY 2018 TABLE 15'!$A$11:$M$146,10,FALSE)-AE110</f>
        <v>529898.08000000054</v>
      </c>
      <c r="AN110" s="72">
        <f>VLOOKUP(AA110,'FY 2018 TABLE 15'!$A$11:$M$146,11,FALSE)-AF110</f>
        <v>269</v>
      </c>
      <c r="AO110" s="72">
        <f>VLOOKUP(AA110,'FY 2018 TABLE 15'!$A$11:$M$146,4,FALSE)-AG110</f>
        <v>-350607.37000000756</v>
      </c>
      <c r="AP110" s="72">
        <f>VLOOKUP(AA110,'FY 2018 TABLE 15'!$A$11:$M$146,5,FALSE)-AH110</f>
        <v>-157</v>
      </c>
      <c r="AQ110" s="72">
        <f>VLOOKUP(AA110,'FY 2018 TABLE 15'!$A$11:$M$146,12,FALSE)-AI110</f>
        <v>823993.57794417441</v>
      </c>
      <c r="AR110" s="73">
        <f>VLOOKUP(AA110,'FY 2018 TABLE 15'!$A$11:$M$146,13,FALSE)-AJ110</f>
        <v>465</v>
      </c>
    </row>
    <row r="111" spans="1:44" s="11" customFormat="1" ht="15.75" x14ac:dyDescent="0.25">
      <c r="A111" s="279"/>
      <c r="B111" s="279"/>
      <c r="C111" s="279"/>
      <c r="D111" s="279"/>
      <c r="E111" s="279"/>
      <c r="F111" s="279"/>
      <c r="G111" s="279"/>
      <c r="H111" s="279"/>
      <c r="I111" s="66"/>
      <c r="J111" s="69"/>
      <c r="K111" s="18"/>
      <c r="L111" s="18"/>
      <c r="M111" s="18"/>
      <c r="N111" s="18"/>
      <c r="O111" s="18"/>
      <c r="P111" s="18"/>
      <c r="Q111" s="18"/>
      <c r="R111" s="18"/>
      <c r="S111" s="18"/>
      <c r="T111" s="18"/>
      <c r="U111" s="18"/>
      <c r="V111" s="18"/>
      <c r="W111" s="18"/>
      <c r="X111" s="18"/>
      <c r="Y111" s="18"/>
      <c r="Z111" s="18"/>
      <c r="AA111" s="236">
        <v>117</v>
      </c>
      <c r="AB111" s="237" t="s">
        <v>258</v>
      </c>
      <c r="AC111" s="35">
        <v>152974055.99861231</v>
      </c>
      <c r="AD111" s="35">
        <v>5333</v>
      </c>
      <c r="AE111" s="35">
        <v>40643471</v>
      </c>
      <c r="AF111" s="35">
        <v>1417</v>
      </c>
      <c r="AG111" s="35">
        <v>109643046.13</v>
      </c>
      <c r="AH111" s="35">
        <v>3823</v>
      </c>
      <c r="AI111" s="35">
        <v>332724129.84861231</v>
      </c>
      <c r="AJ111" s="35">
        <v>11600</v>
      </c>
      <c r="AK111" s="72">
        <f>VLOOKUP(AA111,'FY 2018 TABLE 15'!$A$11:$M$146,6,FALSE)-AC111</f>
        <v>8641708.7542875409</v>
      </c>
      <c r="AL111" s="72">
        <f>VLOOKUP(AA111,'FY 2018 TABLE 15'!$A$11:$M$146,7,FALSE)-AD111</f>
        <v>336</v>
      </c>
      <c r="AM111" s="72">
        <f>VLOOKUP(AA111,'FY 2018 TABLE 15'!$A$11:$M$146,10,FALSE)-AE111</f>
        <v>-2515402</v>
      </c>
      <c r="AN111" s="72">
        <f>VLOOKUP(AA111,'FY 2018 TABLE 15'!$A$11:$M$146,11,FALSE)-AF111</f>
        <v>-80</v>
      </c>
      <c r="AO111" s="72">
        <f>VLOOKUP(AA111,'FY 2018 TABLE 15'!$A$11:$M$146,4,FALSE)-AG111</f>
        <v>3075966.5699999928</v>
      </c>
      <c r="AP111" s="72">
        <f>VLOOKUP(AA111,'FY 2018 TABLE 15'!$A$11:$M$146,5,FALSE)-AH111</f>
        <v>131</v>
      </c>
      <c r="AQ111" s="72">
        <f>VLOOKUP(AA111,'FY 2018 TABLE 15'!$A$11:$M$146,12,FALSE)-AI111</f>
        <v>7869532.1442875266</v>
      </c>
      <c r="AR111" s="73">
        <f>VLOOKUP(AA111,'FY 2018 TABLE 15'!$A$11:$M$146,13,FALSE)-AJ111</f>
        <v>347</v>
      </c>
    </row>
    <row r="112" spans="1:44" s="11" customFormat="1" ht="15.75" x14ac:dyDescent="0.25">
      <c r="A112" s="279"/>
      <c r="B112" s="279"/>
      <c r="C112" s="279"/>
      <c r="D112" s="279"/>
      <c r="E112" s="279"/>
      <c r="F112" s="279"/>
      <c r="G112" s="279"/>
      <c r="H112" s="279"/>
      <c r="I112" s="66"/>
      <c r="J112" s="69"/>
      <c r="K112" s="18"/>
      <c r="L112" s="18"/>
      <c r="M112" s="18"/>
      <c r="N112" s="18"/>
      <c r="O112" s="18"/>
      <c r="P112" s="18"/>
      <c r="Q112" s="18"/>
      <c r="R112" s="18"/>
      <c r="S112" s="18"/>
      <c r="T112" s="18"/>
      <c r="U112" s="18"/>
      <c r="V112" s="18"/>
      <c r="W112" s="18"/>
      <c r="X112" s="18"/>
      <c r="Y112" s="18"/>
      <c r="Z112" s="18"/>
      <c r="AA112" s="236">
        <v>118</v>
      </c>
      <c r="AB112" s="237" t="s">
        <v>259</v>
      </c>
      <c r="AC112" s="35">
        <v>156384851.30861321</v>
      </c>
      <c r="AD112" s="35">
        <v>5039</v>
      </c>
      <c r="AE112" s="35">
        <v>54637415.390000001</v>
      </c>
      <c r="AF112" s="35">
        <v>1761</v>
      </c>
      <c r="AG112" s="35">
        <v>119161995.46999998</v>
      </c>
      <c r="AH112" s="35">
        <v>3840</v>
      </c>
      <c r="AI112" s="35">
        <v>362654116.7886132</v>
      </c>
      <c r="AJ112" s="35">
        <v>11686</v>
      </c>
      <c r="AK112" s="72">
        <f>VLOOKUP(AA112,'FY 2018 TABLE 15'!$A$11:$M$146,6,FALSE)-AC112</f>
        <v>3855161.519466579</v>
      </c>
      <c r="AL112" s="72">
        <f>VLOOKUP(AA112,'FY 2018 TABLE 15'!$A$11:$M$146,7,FALSE)-AD112</f>
        <v>232</v>
      </c>
      <c r="AM112" s="72">
        <f>VLOOKUP(AA112,'FY 2018 TABLE 15'!$A$11:$M$146,10,FALSE)-AE112</f>
        <v>-4675710.2699999958</v>
      </c>
      <c r="AN112" s="72">
        <f>VLOOKUP(AA112,'FY 2018 TABLE 15'!$A$11:$M$146,11,FALSE)-AF112</f>
        <v>-118</v>
      </c>
      <c r="AO112" s="72">
        <f>VLOOKUP(AA112,'FY 2018 TABLE 15'!$A$11:$M$146,4,FALSE)-AG112</f>
        <v>99541.739999458194</v>
      </c>
      <c r="AP112" s="72">
        <f>VLOOKUP(AA112,'FY 2018 TABLE 15'!$A$11:$M$146,5,FALSE)-AH112</f>
        <v>83</v>
      </c>
      <c r="AQ112" s="72">
        <f>VLOOKUP(AA112,'FY 2018 TABLE 15'!$A$11:$M$146,12,FALSE)-AI112</f>
        <v>-2291820.4905339479</v>
      </c>
      <c r="AR112" s="73">
        <f>VLOOKUP(AA112,'FY 2018 TABLE 15'!$A$11:$M$146,13,FALSE)-AJ112</f>
        <v>167</v>
      </c>
    </row>
    <row r="113" spans="1:44" s="11" customFormat="1" ht="15.75" x14ac:dyDescent="0.25">
      <c r="A113" s="279"/>
      <c r="B113" s="279"/>
      <c r="C113" s="279"/>
      <c r="D113" s="279"/>
      <c r="E113" s="279"/>
      <c r="F113" s="279"/>
      <c r="G113" s="279"/>
      <c r="H113" s="279"/>
      <c r="I113" s="66"/>
      <c r="J113" s="69"/>
      <c r="K113" s="18"/>
      <c r="L113" s="18"/>
      <c r="M113" s="18"/>
      <c r="N113" s="18"/>
      <c r="O113" s="18"/>
      <c r="P113" s="18"/>
      <c r="Q113" s="18"/>
      <c r="R113" s="18"/>
      <c r="S113" s="18"/>
      <c r="T113" s="18"/>
      <c r="U113" s="18"/>
      <c r="V113" s="18"/>
      <c r="W113" s="18"/>
      <c r="X113" s="18"/>
      <c r="Y113" s="18"/>
      <c r="Z113" s="18"/>
      <c r="AA113" s="236">
        <v>119</v>
      </c>
      <c r="AB113" s="237" t="s">
        <v>260</v>
      </c>
      <c r="AC113" s="35">
        <v>4324492.5457261736</v>
      </c>
      <c r="AD113" s="35">
        <v>5442</v>
      </c>
      <c r="AE113" s="35">
        <v>730954.97999999986</v>
      </c>
      <c r="AF113" s="35">
        <v>920</v>
      </c>
      <c r="AG113" s="35">
        <v>1776995.6199999996</v>
      </c>
      <c r="AH113" s="35">
        <v>2236</v>
      </c>
      <c r="AI113" s="35">
        <v>7549429.485726173</v>
      </c>
      <c r="AJ113" s="35">
        <v>9500</v>
      </c>
      <c r="AK113" s="72">
        <f>VLOOKUP(AA113,'FY 2018 TABLE 15'!$A$11:$M$146,6,FALSE)-AC113</f>
        <v>-9653.2866168115288</v>
      </c>
      <c r="AL113" s="72">
        <f>VLOOKUP(AA113,'FY 2018 TABLE 15'!$A$11:$M$146,7,FALSE)-AD113</f>
        <v>-77</v>
      </c>
      <c r="AM113" s="72">
        <f>VLOOKUP(AA113,'FY 2018 TABLE 15'!$A$11:$M$146,10,FALSE)-AE113</f>
        <v>146749.13000000012</v>
      </c>
      <c r="AN113" s="72">
        <f>VLOOKUP(AA113,'FY 2018 TABLE 15'!$A$11:$M$146,11,FALSE)-AF113</f>
        <v>171</v>
      </c>
      <c r="AO113" s="72">
        <f>VLOOKUP(AA113,'FY 2018 TABLE 15'!$A$11:$M$146,4,FALSE)-AG113</f>
        <v>-299800.87999999849</v>
      </c>
      <c r="AP113" s="72">
        <f>VLOOKUP(AA113,'FY 2018 TABLE 15'!$A$11:$M$146,5,FALSE)-AH113</f>
        <v>-399</v>
      </c>
      <c r="AQ113" s="72">
        <f>VLOOKUP(AA113,'FY 2018 TABLE 15'!$A$11:$M$146,12,FALSE)-AI113</f>
        <v>-134117.79661680944</v>
      </c>
      <c r="AR113" s="73">
        <f>VLOOKUP(AA113,'FY 2018 TABLE 15'!$A$11:$M$146,13,FALSE)-AJ113</f>
        <v>-281</v>
      </c>
    </row>
    <row r="114" spans="1:44" s="11" customFormat="1" ht="15.75" x14ac:dyDescent="0.25">
      <c r="A114" s="279"/>
      <c r="B114" s="279"/>
      <c r="C114" s="279"/>
      <c r="D114" s="279"/>
      <c r="E114" s="279"/>
      <c r="F114" s="279"/>
      <c r="G114" s="279"/>
      <c r="H114" s="279"/>
      <c r="I114" s="66"/>
      <c r="J114" s="69"/>
      <c r="K114" s="18"/>
      <c r="L114" s="18"/>
      <c r="M114" s="18"/>
      <c r="N114" s="18"/>
      <c r="O114" s="18"/>
      <c r="P114" s="18"/>
      <c r="Q114" s="18"/>
      <c r="R114" s="18"/>
      <c r="S114" s="18"/>
      <c r="T114" s="18"/>
      <c r="U114" s="18"/>
      <c r="V114" s="18"/>
      <c r="W114" s="18"/>
      <c r="X114" s="18"/>
      <c r="Y114" s="18"/>
      <c r="Z114" s="18"/>
      <c r="AA114" s="236">
        <v>120</v>
      </c>
      <c r="AB114" s="237" t="s">
        <v>261</v>
      </c>
      <c r="AC114" s="35">
        <v>27229219.792493988</v>
      </c>
      <c r="AD114" s="35">
        <v>6449</v>
      </c>
      <c r="AE114" s="35">
        <v>11305330.099999996</v>
      </c>
      <c r="AF114" s="35">
        <v>2678</v>
      </c>
      <c r="AG114" s="35">
        <v>9090747.6899999958</v>
      </c>
      <c r="AH114" s="35">
        <v>2153</v>
      </c>
      <c r="AI114" s="35">
        <v>52058299.842493981</v>
      </c>
      <c r="AJ114" s="35">
        <v>12329</v>
      </c>
      <c r="AK114" s="72">
        <f>VLOOKUP(AA114,'FY 2018 TABLE 15'!$A$11:$M$146,6,FALSE)-AC114</f>
        <v>-88654.872913181782</v>
      </c>
      <c r="AL114" s="72">
        <f>VLOOKUP(AA114,'FY 2018 TABLE 15'!$A$11:$M$146,7,FALSE)-AD114</f>
        <v>118</v>
      </c>
      <c r="AM114" s="72">
        <f>VLOOKUP(AA114,'FY 2018 TABLE 15'!$A$11:$M$146,10,FALSE)-AE114</f>
        <v>-387700.44999999553</v>
      </c>
      <c r="AN114" s="72">
        <f>VLOOKUP(AA114,'FY 2018 TABLE 15'!$A$11:$M$146,11,FALSE)-AF114</f>
        <v>-36</v>
      </c>
      <c r="AO114" s="72">
        <f>VLOOKUP(AA114,'FY 2018 TABLE 15'!$A$11:$M$146,4,FALSE)-AG114</f>
        <v>49174.480000013486</v>
      </c>
      <c r="AP114" s="72">
        <f>VLOOKUP(AA114,'FY 2018 TABLE 15'!$A$11:$M$146,5,FALSE)-AH114</f>
        <v>59</v>
      </c>
      <c r="AQ114" s="72">
        <f>VLOOKUP(AA114,'FY 2018 TABLE 15'!$A$11:$M$146,12,FALSE)-AI114</f>
        <v>-632594.2429131642</v>
      </c>
      <c r="AR114" s="73">
        <f>VLOOKUP(AA114,'FY 2018 TABLE 15'!$A$11:$M$146,13,FALSE)-AJ114</f>
        <v>114</v>
      </c>
    </row>
    <row r="115" spans="1:44" s="11" customFormat="1" ht="15.75" x14ac:dyDescent="0.25">
      <c r="A115" s="279"/>
      <c r="B115" s="279"/>
      <c r="C115" s="279"/>
      <c r="D115" s="279"/>
      <c r="E115" s="279"/>
      <c r="F115" s="279"/>
      <c r="G115" s="279"/>
      <c r="H115" s="279"/>
      <c r="I115" s="66"/>
      <c r="J115" s="69"/>
      <c r="K115" s="18"/>
      <c r="L115" s="18"/>
      <c r="M115" s="18"/>
      <c r="N115" s="18"/>
      <c r="O115" s="18"/>
      <c r="P115" s="18"/>
      <c r="Q115" s="18"/>
      <c r="R115" s="18"/>
      <c r="S115" s="18"/>
      <c r="T115" s="18"/>
      <c r="U115" s="18"/>
      <c r="V115" s="18"/>
      <c r="W115" s="18"/>
      <c r="X115" s="18"/>
      <c r="Y115" s="18"/>
      <c r="Z115" s="18"/>
      <c r="AA115" s="236">
        <v>121</v>
      </c>
      <c r="AB115" s="237" t="s">
        <v>263</v>
      </c>
      <c r="AC115" s="35">
        <v>76470001.394165412</v>
      </c>
      <c r="AD115" s="35">
        <v>5319</v>
      </c>
      <c r="AE115" s="35">
        <v>21067966.259999994</v>
      </c>
      <c r="AF115" s="35">
        <v>1465</v>
      </c>
      <c r="AG115" s="35">
        <v>48759549.359999999</v>
      </c>
      <c r="AH115" s="35">
        <v>3391</v>
      </c>
      <c r="AI115" s="35">
        <v>161458948.41416541</v>
      </c>
      <c r="AJ115" s="35">
        <v>11230</v>
      </c>
      <c r="AK115" s="72">
        <f>VLOOKUP(AA115,'FY 2018 TABLE 15'!$A$11:$M$146,6,FALSE)-AC115</f>
        <v>3309279.7007940561</v>
      </c>
      <c r="AL115" s="72">
        <f>VLOOKUP(AA115,'FY 2018 TABLE 15'!$A$11:$M$146,7,FALSE)-AD115</f>
        <v>324</v>
      </c>
      <c r="AM115" s="72">
        <f>VLOOKUP(AA115,'FY 2018 TABLE 15'!$A$11:$M$146,10,FALSE)-AE115</f>
        <v>-1687795.4100000001</v>
      </c>
      <c r="AN115" s="72">
        <f>VLOOKUP(AA115,'FY 2018 TABLE 15'!$A$11:$M$146,11,FALSE)-AF115</f>
        <v>-94</v>
      </c>
      <c r="AO115" s="72">
        <f>VLOOKUP(AA115,'FY 2018 TABLE 15'!$A$11:$M$146,4,FALSE)-AG115</f>
        <v>4970850.5599997044</v>
      </c>
      <c r="AP115" s="72">
        <f>VLOOKUP(AA115,'FY 2018 TABLE 15'!$A$11:$M$146,5,FALSE)-AH115</f>
        <v>410</v>
      </c>
      <c r="AQ115" s="72">
        <f>VLOOKUP(AA115,'FY 2018 TABLE 15'!$A$11:$M$146,12,FALSE)-AI115</f>
        <v>6941962.9307937622</v>
      </c>
      <c r="AR115" s="73">
        <f>VLOOKUP(AA115,'FY 2018 TABLE 15'!$A$11:$M$146,13,FALSE)-AJ115</f>
        <v>682</v>
      </c>
    </row>
    <row r="116" spans="1:44" s="11" customFormat="1" ht="15.75" x14ac:dyDescent="0.25">
      <c r="A116" s="279"/>
      <c r="B116" s="279"/>
      <c r="C116" s="279"/>
      <c r="D116" s="279"/>
      <c r="E116" s="279"/>
      <c r="F116" s="279"/>
      <c r="G116" s="279"/>
      <c r="H116" s="279"/>
      <c r="I116" s="66"/>
      <c r="J116" s="69"/>
      <c r="K116" s="18"/>
      <c r="L116" s="18"/>
      <c r="M116" s="18"/>
      <c r="N116" s="18"/>
      <c r="O116" s="18"/>
      <c r="P116" s="18"/>
      <c r="Q116" s="18"/>
      <c r="R116" s="18"/>
      <c r="S116" s="18"/>
      <c r="T116" s="18"/>
      <c r="U116" s="18"/>
      <c r="V116" s="18"/>
      <c r="W116" s="18"/>
      <c r="X116" s="18"/>
      <c r="Y116" s="18"/>
      <c r="Z116" s="18"/>
      <c r="AA116" s="236">
        <v>122</v>
      </c>
      <c r="AB116" s="237" t="s">
        <v>264</v>
      </c>
      <c r="AC116" s="35">
        <v>8495083.1731692422</v>
      </c>
      <c r="AD116" s="35">
        <v>5159</v>
      </c>
      <c r="AE116" s="35">
        <v>1572187.35</v>
      </c>
      <c r="AF116" s="35">
        <v>955</v>
      </c>
      <c r="AG116" s="35">
        <v>5217525.7399999965</v>
      </c>
      <c r="AH116" s="35">
        <v>3169</v>
      </c>
      <c r="AI116" s="35">
        <v>16922073.643169239</v>
      </c>
      <c r="AJ116" s="35">
        <v>10277</v>
      </c>
      <c r="AK116" s="72">
        <f>VLOOKUP(AA116,'FY 2018 TABLE 15'!$A$11:$M$146,6,FALSE)-AC116</f>
        <v>476018.26244955696</v>
      </c>
      <c r="AL116" s="72">
        <f>VLOOKUP(AA116,'FY 2018 TABLE 15'!$A$11:$M$146,7,FALSE)-AD116</f>
        <v>385</v>
      </c>
      <c r="AM116" s="72">
        <f>VLOOKUP(AA116,'FY 2018 TABLE 15'!$A$11:$M$146,10,FALSE)-AE116</f>
        <v>-8735.75</v>
      </c>
      <c r="AN116" s="72">
        <f>VLOOKUP(AA116,'FY 2018 TABLE 15'!$A$11:$M$146,11,FALSE)-AF116</f>
        <v>11</v>
      </c>
      <c r="AO116" s="72">
        <f>VLOOKUP(AA116,'FY 2018 TABLE 15'!$A$11:$M$146,4,FALSE)-AG116</f>
        <v>-190664.74999999069</v>
      </c>
      <c r="AP116" s="72">
        <f>VLOOKUP(AA116,'FY 2018 TABLE 15'!$A$11:$M$146,5,FALSE)-AH116</f>
        <v>-63</v>
      </c>
      <c r="AQ116" s="72">
        <f>VLOOKUP(AA116,'FY 2018 TABLE 15'!$A$11:$M$146,12,FALSE)-AI116</f>
        <v>316022.98244956508</v>
      </c>
      <c r="AR116" s="73">
        <f>VLOOKUP(AA116,'FY 2018 TABLE 15'!$A$11:$M$146,13,FALSE)-AJ116</f>
        <v>375</v>
      </c>
    </row>
    <row r="117" spans="1:44" s="11" customFormat="1" ht="15.75" x14ac:dyDescent="0.25">
      <c r="A117" s="279"/>
      <c r="B117" s="279"/>
      <c r="C117" s="279"/>
      <c r="D117" s="279"/>
      <c r="E117" s="279"/>
      <c r="F117" s="279"/>
      <c r="G117" s="279"/>
      <c r="H117" s="279"/>
      <c r="I117" s="66"/>
      <c r="J117" s="69"/>
      <c r="K117" s="18"/>
      <c r="L117" s="18"/>
      <c r="M117" s="18"/>
      <c r="N117" s="18"/>
      <c r="O117" s="18"/>
      <c r="P117" s="18"/>
      <c r="Q117" s="18"/>
      <c r="R117" s="18"/>
      <c r="S117" s="18"/>
      <c r="T117" s="18"/>
      <c r="U117" s="18"/>
      <c r="V117" s="18"/>
      <c r="W117" s="18"/>
      <c r="X117" s="18"/>
      <c r="Y117" s="18"/>
      <c r="Z117" s="18"/>
      <c r="AA117" s="236">
        <v>123</v>
      </c>
      <c r="AB117" s="237" t="s">
        <v>220</v>
      </c>
      <c r="AC117" s="35">
        <v>111187575.40070026</v>
      </c>
      <c r="AD117" s="35">
        <v>4499</v>
      </c>
      <c r="AE117" s="35">
        <v>59261944.93</v>
      </c>
      <c r="AF117" s="35">
        <v>2398</v>
      </c>
      <c r="AG117" s="35">
        <v>139252046.80000001</v>
      </c>
      <c r="AH117" s="35">
        <v>5635</v>
      </c>
      <c r="AI117" s="35">
        <v>335290809.45070028</v>
      </c>
      <c r="AJ117" s="35">
        <v>13567</v>
      </c>
      <c r="AK117" s="72">
        <f>VLOOKUP(AA117,'FY 2018 TABLE 15'!$A$11:$M$146,6,FALSE)-AC117</f>
        <v>4626166.220558241</v>
      </c>
      <c r="AL117" s="72">
        <f>VLOOKUP(AA117,'FY 2018 TABLE 15'!$A$11:$M$146,7,FALSE)-AD117</f>
        <v>191</v>
      </c>
      <c r="AM117" s="72">
        <f>VLOOKUP(AA117,'FY 2018 TABLE 15'!$A$11:$M$146,10,FALSE)-AE117</f>
        <v>3134497.7200000063</v>
      </c>
      <c r="AN117" s="72">
        <f>VLOOKUP(AA117,'FY 2018 TABLE 15'!$A$11:$M$146,11,FALSE)-AF117</f>
        <v>129</v>
      </c>
      <c r="AO117" s="72">
        <f>VLOOKUP(AA117,'FY 2018 TABLE 15'!$A$11:$M$146,4,FALSE)-AG117</f>
        <v>14066100.269999921</v>
      </c>
      <c r="AP117" s="72">
        <f>VLOOKUP(AA117,'FY 2018 TABLE 15'!$A$11:$M$146,5,FALSE)-AH117</f>
        <v>574</v>
      </c>
      <c r="AQ117" s="72">
        <f>VLOOKUP(AA117,'FY 2018 TABLE 15'!$A$11:$M$146,12,FALSE)-AI117</f>
        <v>22678167.480558157</v>
      </c>
      <c r="AR117" s="73">
        <f>VLOOKUP(AA117,'FY 2018 TABLE 15'!$A$11:$M$146,13,FALSE)-AJ117</f>
        <v>930</v>
      </c>
    </row>
    <row r="118" spans="1:44" s="11" customFormat="1" ht="12" customHeight="1" x14ac:dyDescent="0.25">
      <c r="A118" s="279"/>
      <c r="B118" s="279"/>
      <c r="C118" s="279"/>
      <c r="D118" s="279"/>
      <c r="E118" s="279"/>
      <c r="F118" s="279"/>
      <c r="G118" s="279"/>
      <c r="H118" s="279"/>
      <c r="I118" s="66"/>
      <c r="J118" s="69"/>
      <c r="K118" s="18"/>
      <c r="L118" s="18"/>
      <c r="M118" s="18"/>
      <c r="N118" s="18"/>
      <c r="O118" s="18"/>
      <c r="P118" s="18"/>
      <c r="Q118" s="18"/>
      <c r="R118" s="18"/>
      <c r="S118" s="18"/>
      <c r="T118" s="18"/>
      <c r="U118" s="18"/>
      <c r="V118" s="18"/>
      <c r="W118" s="18"/>
      <c r="X118" s="18"/>
      <c r="Y118" s="18"/>
      <c r="Z118" s="18"/>
      <c r="AA118" s="236">
        <v>124</v>
      </c>
      <c r="AB118" s="237" t="s">
        <v>221</v>
      </c>
      <c r="AC118" s="35">
        <v>73884232.415466443</v>
      </c>
      <c r="AD118" s="35">
        <v>5437</v>
      </c>
      <c r="AE118" s="35">
        <v>23474746.59</v>
      </c>
      <c r="AF118" s="35">
        <v>1727</v>
      </c>
      <c r="AG118" s="35">
        <v>65481876.409999996</v>
      </c>
      <c r="AH118" s="35">
        <v>4818</v>
      </c>
      <c r="AI118" s="35">
        <v>177534644.09546643</v>
      </c>
      <c r="AJ118" s="35">
        <v>13064</v>
      </c>
      <c r="AK118" s="72">
        <f>VLOOKUP(AA118,'FY 2018 TABLE 15'!$A$11:$M$146,6,FALSE)-AC118</f>
        <v>1542461.9883321822</v>
      </c>
      <c r="AL118" s="72">
        <f>VLOOKUP(AA118,'FY 2018 TABLE 15'!$A$11:$M$146,7,FALSE)-AD118</f>
        <v>109</v>
      </c>
      <c r="AM118" s="72">
        <f>VLOOKUP(AA118,'FY 2018 TABLE 15'!$A$11:$M$146,10,FALSE)-AE118</f>
        <v>-284815.36000000685</v>
      </c>
      <c r="AN118" s="72">
        <f>VLOOKUP(AA118,'FY 2018 TABLE 15'!$A$11:$M$146,11,FALSE)-AF118</f>
        <v>-22</v>
      </c>
      <c r="AO118" s="72">
        <f>VLOOKUP(AA118,'FY 2018 TABLE 15'!$A$11:$M$146,4,FALSE)-AG118</f>
        <v>3191825.2799999267</v>
      </c>
      <c r="AP118" s="72">
        <f>VLOOKUP(AA118,'FY 2018 TABLE 15'!$A$11:$M$146,5,FALSE)-AH118</f>
        <v>231</v>
      </c>
      <c r="AQ118" s="72">
        <f>VLOOKUP(AA118,'FY 2018 TABLE 15'!$A$11:$M$146,12,FALSE)-AI118</f>
        <v>4124881.8483321071</v>
      </c>
      <c r="AR118" s="73">
        <f>VLOOKUP(AA118,'FY 2018 TABLE 15'!$A$11:$M$146,13,FALSE)-AJ118</f>
        <v>292</v>
      </c>
    </row>
    <row r="119" spans="1:44" s="11" customFormat="1" ht="15.75" x14ac:dyDescent="0.25">
      <c r="A119" s="279"/>
      <c r="B119" s="279"/>
      <c r="C119" s="279"/>
      <c r="D119" s="279"/>
      <c r="E119" s="279"/>
      <c r="F119" s="279"/>
      <c r="G119" s="279"/>
      <c r="H119" s="279"/>
      <c r="I119" s="66"/>
      <c r="J119" s="69"/>
      <c r="K119" s="18"/>
      <c r="L119" s="18"/>
      <c r="M119" s="18"/>
      <c r="N119" s="18"/>
      <c r="O119" s="18"/>
      <c r="P119" s="18"/>
      <c r="Q119" s="18"/>
      <c r="R119" s="18"/>
      <c r="S119" s="18"/>
      <c r="T119" s="18"/>
      <c r="U119" s="18"/>
      <c r="V119" s="18"/>
      <c r="W119" s="18"/>
      <c r="X119" s="18"/>
      <c r="Y119" s="18"/>
      <c r="Z119" s="18"/>
      <c r="AA119" s="236">
        <v>126</v>
      </c>
      <c r="AB119" s="237" t="s">
        <v>266</v>
      </c>
      <c r="AC119" s="35">
        <v>11826593.492235458</v>
      </c>
      <c r="AD119" s="35">
        <v>4487</v>
      </c>
      <c r="AE119" s="35">
        <v>2623986.87</v>
      </c>
      <c r="AF119" s="35">
        <v>996</v>
      </c>
      <c r="AG119" s="35">
        <v>11928747.619999997</v>
      </c>
      <c r="AH119" s="35">
        <v>4526</v>
      </c>
      <c r="AI119" s="35">
        <v>29735759.142235458</v>
      </c>
      <c r="AJ119" s="35">
        <v>11282</v>
      </c>
      <c r="AK119" s="72">
        <f>VLOOKUP(AA119,'FY 2018 TABLE 15'!$A$11:$M$146,6,FALSE)-AC119</f>
        <v>593380.39947011136</v>
      </c>
      <c r="AL119" s="72">
        <f>VLOOKUP(AA119,'FY 2018 TABLE 15'!$A$11:$M$146,7,FALSE)-AD119</f>
        <v>149</v>
      </c>
      <c r="AM119" s="72">
        <f>VLOOKUP(AA119,'FY 2018 TABLE 15'!$A$11:$M$146,10,FALSE)-AE119</f>
        <v>226541.63000000035</v>
      </c>
      <c r="AN119" s="72">
        <f>VLOOKUP(AA119,'FY 2018 TABLE 15'!$A$11:$M$146,11,FALSE)-AF119</f>
        <v>68</v>
      </c>
      <c r="AO119" s="72">
        <f>VLOOKUP(AA119,'FY 2018 TABLE 15'!$A$11:$M$146,4,FALSE)-AG119</f>
        <v>136212.37999997661</v>
      </c>
      <c r="AP119" s="72">
        <f>VLOOKUP(AA119,'FY 2018 TABLE 15'!$A$11:$M$146,5,FALSE)-AH119</f>
        <v>-22</v>
      </c>
      <c r="AQ119" s="72">
        <f>VLOOKUP(AA119,'FY 2018 TABLE 15'!$A$11:$M$146,12,FALSE)-AI119</f>
        <v>1013159.4094700851</v>
      </c>
      <c r="AR119" s="73">
        <f>VLOOKUP(AA119,'FY 2018 TABLE 15'!$A$11:$M$146,13,FALSE)-AJ119</f>
        <v>196</v>
      </c>
    </row>
    <row r="120" spans="1:44" s="11" customFormat="1" ht="15.75" x14ac:dyDescent="0.25">
      <c r="A120" s="279"/>
      <c r="B120" s="279"/>
      <c r="C120" s="279"/>
      <c r="D120" s="279"/>
      <c r="E120" s="279"/>
      <c r="F120" s="279"/>
      <c r="G120" s="279"/>
      <c r="H120" s="279"/>
      <c r="I120" s="66"/>
      <c r="J120" s="69"/>
      <c r="K120" s="18"/>
      <c r="L120" s="18"/>
      <c r="M120" s="18"/>
      <c r="N120" s="18"/>
      <c r="O120" s="18"/>
      <c r="P120" s="18"/>
      <c r="Q120" s="18"/>
      <c r="R120" s="18"/>
      <c r="S120" s="18"/>
      <c r="T120" s="18"/>
      <c r="U120" s="18"/>
      <c r="V120" s="18"/>
      <c r="W120" s="18"/>
      <c r="X120" s="18"/>
      <c r="Y120" s="18"/>
      <c r="Z120" s="18"/>
      <c r="AA120" s="236">
        <v>127</v>
      </c>
      <c r="AB120" s="237" t="s">
        <v>267</v>
      </c>
      <c r="AC120" s="35">
        <v>63911547.196109511</v>
      </c>
      <c r="AD120" s="35">
        <v>4483</v>
      </c>
      <c r="AE120" s="35">
        <v>13019745</v>
      </c>
      <c r="AF120" s="35">
        <v>913</v>
      </c>
      <c r="AG120" s="35">
        <v>56434452.590000004</v>
      </c>
      <c r="AH120" s="35">
        <v>3958</v>
      </c>
      <c r="AI120" s="35">
        <v>149802421.59610951</v>
      </c>
      <c r="AJ120" s="35">
        <v>10507</v>
      </c>
      <c r="AK120" s="72">
        <f>VLOOKUP(AA120,'FY 2018 TABLE 15'!$A$11:$M$146,6,FALSE)-AC120</f>
        <v>3207802.0886452869</v>
      </c>
      <c r="AL120" s="72">
        <f>VLOOKUP(AA120,'FY 2018 TABLE 15'!$A$11:$M$146,7,FALSE)-AD120</f>
        <v>199</v>
      </c>
      <c r="AM120" s="72">
        <f>VLOOKUP(AA120,'FY 2018 TABLE 15'!$A$11:$M$146,10,FALSE)-AE120</f>
        <v>485079.93000000156</v>
      </c>
      <c r="AN120" s="72">
        <f>VLOOKUP(AA120,'FY 2018 TABLE 15'!$A$11:$M$146,11,FALSE)-AF120</f>
        <v>29</v>
      </c>
      <c r="AO120" s="72">
        <f>VLOOKUP(AA120,'FY 2018 TABLE 15'!$A$11:$M$146,4,FALSE)-AG120</f>
        <v>397258.85999986529</v>
      </c>
      <c r="AP120" s="72">
        <f>VLOOKUP(AA120,'FY 2018 TABLE 15'!$A$11:$M$146,5,FALSE)-AH120</f>
        <v>6</v>
      </c>
      <c r="AQ120" s="72">
        <f>VLOOKUP(AA120,'FY 2018 TABLE 15'!$A$11:$M$146,12,FALSE)-AI120</f>
        <v>4551759.5286451578</v>
      </c>
      <c r="AR120" s="73">
        <f>VLOOKUP(AA120,'FY 2018 TABLE 15'!$A$11:$M$146,13,FALSE)-AJ120</f>
        <v>260</v>
      </c>
    </row>
    <row r="121" spans="1:44" s="11" customFormat="1" ht="15.75" x14ac:dyDescent="0.25">
      <c r="A121" s="279"/>
      <c r="B121" s="279"/>
      <c r="C121" s="279"/>
      <c r="D121" s="279"/>
      <c r="E121" s="279"/>
      <c r="F121" s="279"/>
      <c r="G121" s="279"/>
      <c r="H121" s="279"/>
      <c r="I121" s="66"/>
      <c r="J121" s="69"/>
      <c r="K121" s="18"/>
      <c r="L121" s="18"/>
      <c r="M121" s="18"/>
      <c r="N121" s="18"/>
      <c r="O121" s="18"/>
      <c r="P121" s="18"/>
      <c r="Q121" s="18"/>
      <c r="R121" s="18"/>
      <c r="S121" s="18"/>
      <c r="T121" s="18"/>
      <c r="U121" s="18"/>
      <c r="V121" s="18"/>
      <c r="W121" s="18"/>
      <c r="X121" s="18"/>
      <c r="Y121" s="18"/>
      <c r="Z121" s="18"/>
      <c r="AA121" s="236">
        <v>128</v>
      </c>
      <c r="AB121" s="237" t="s">
        <v>275</v>
      </c>
      <c r="AC121" s="35">
        <v>273961598.79441506</v>
      </c>
      <c r="AD121" s="35">
        <v>3986</v>
      </c>
      <c r="AE121" s="35">
        <v>61505842.950000003</v>
      </c>
      <c r="AF121" s="35">
        <v>895</v>
      </c>
      <c r="AG121" s="35">
        <v>382406115.88</v>
      </c>
      <c r="AH121" s="35">
        <v>5563</v>
      </c>
      <c r="AI121" s="35">
        <v>790958120.25441504</v>
      </c>
      <c r="AJ121" s="35">
        <v>11507</v>
      </c>
      <c r="AK121" s="72">
        <f>VLOOKUP(AA121,'FY 2018 TABLE 15'!$A$11:$M$146,6,FALSE)-AC121</f>
        <v>16311683.077620745</v>
      </c>
      <c r="AL121" s="72">
        <f>VLOOKUP(AA121,'FY 2018 TABLE 15'!$A$11:$M$146,7,FALSE)-AD121</f>
        <v>233</v>
      </c>
      <c r="AM121" s="72">
        <f>VLOOKUP(AA121,'FY 2018 TABLE 15'!$A$11:$M$146,10,FALSE)-AE121</f>
        <v>-1236769.1700000092</v>
      </c>
      <c r="AN121" s="72">
        <f>VLOOKUP(AA121,'FY 2018 TABLE 15'!$A$11:$M$146,11,FALSE)-AF121</f>
        <v>-19</v>
      </c>
      <c r="AO121" s="72">
        <f>VLOOKUP(AA121,'FY 2018 TABLE 15'!$A$11:$M$146,4,FALSE)-AG121</f>
        <v>20017266.250000298</v>
      </c>
      <c r="AP121" s="72">
        <f>VLOOKUP(AA121,'FY 2018 TABLE 15'!$A$11:$M$146,5,FALSE)-AH121</f>
        <v>285</v>
      </c>
      <c r="AQ121" s="72">
        <f>VLOOKUP(AA121,'FY 2018 TABLE 15'!$A$11:$M$146,12,FALSE)-AI121</f>
        <v>36272492.00762105</v>
      </c>
      <c r="AR121" s="73">
        <f>VLOOKUP(AA121,'FY 2018 TABLE 15'!$A$11:$M$146,13,FALSE)-AJ121</f>
        <v>515</v>
      </c>
    </row>
    <row r="122" spans="1:44" s="11" customFormat="1" ht="15.75" x14ac:dyDescent="0.25">
      <c r="A122" s="279"/>
      <c r="B122" s="279"/>
      <c r="C122" s="279"/>
      <c r="D122" s="279"/>
      <c r="E122" s="279"/>
      <c r="F122" s="279"/>
      <c r="G122" s="279"/>
      <c r="H122" s="279"/>
      <c r="I122" s="66"/>
      <c r="J122" s="69"/>
      <c r="K122" s="18"/>
      <c r="L122" s="18"/>
      <c r="M122" s="18"/>
      <c r="N122" s="18"/>
      <c r="O122" s="18"/>
      <c r="P122" s="18"/>
      <c r="Q122" s="18"/>
      <c r="R122" s="18"/>
      <c r="S122" s="18"/>
      <c r="T122" s="18"/>
      <c r="U122" s="18"/>
      <c r="V122" s="18"/>
      <c r="W122" s="18"/>
      <c r="X122" s="18"/>
      <c r="Y122" s="18"/>
      <c r="Z122" s="18"/>
      <c r="AA122" s="236">
        <v>130</v>
      </c>
      <c r="AB122" s="237" t="s">
        <v>268</v>
      </c>
      <c r="AC122" s="35">
        <v>14121166.944635561</v>
      </c>
      <c r="AD122" s="35">
        <v>4493</v>
      </c>
      <c r="AE122" s="35">
        <v>3520100.03</v>
      </c>
      <c r="AF122" s="35">
        <v>1120</v>
      </c>
      <c r="AG122" s="35">
        <v>15689983.039999997</v>
      </c>
      <c r="AH122" s="35">
        <v>4992</v>
      </c>
      <c r="AI122" s="35">
        <v>36795251.574635558</v>
      </c>
      <c r="AJ122" s="35">
        <v>11706</v>
      </c>
      <c r="AK122" s="72">
        <f>VLOOKUP(AA122,'FY 2018 TABLE 15'!$A$11:$M$146,6,FALSE)-AC122</f>
        <v>419605.95156673901</v>
      </c>
      <c r="AL122" s="72">
        <f>VLOOKUP(AA122,'FY 2018 TABLE 15'!$A$11:$M$146,7,FALSE)-AD122</f>
        <v>268</v>
      </c>
      <c r="AM122" s="72">
        <f>VLOOKUP(AA122,'FY 2018 TABLE 15'!$A$11:$M$146,10,FALSE)-AE122</f>
        <v>-15247.649999999441</v>
      </c>
      <c r="AN122" s="72">
        <f>VLOOKUP(AA122,'FY 2018 TABLE 15'!$A$11:$M$146,11,FALSE)-AF122</f>
        <v>28</v>
      </c>
      <c r="AO122" s="72">
        <f>VLOOKUP(AA122,'FY 2018 TABLE 15'!$A$11:$M$146,4,FALSE)-AG122</f>
        <v>-842994.73000000231</v>
      </c>
      <c r="AP122" s="72">
        <f>VLOOKUP(AA122,'FY 2018 TABLE 15'!$A$11:$M$146,5,FALSE)-AH122</f>
        <v>-130</v>
      </c>
      <c r="AQ122" s="72">
        <f>VLOOKUP(AA122,'FY 2018 TABLE 15'!$A$11:$M$146,12,FALSE)-AI122</f>
        <v>-511439.208433263</v>
      </c>
      <c r="AR122" s="73">
        <f>VLOOKUP(AA122,'FY 2018 TABLE 15'!$A$11:$M$146,13,FALSE)-AJ122</f>
        <v>175</v>
      </c>
    </row>
    <row r="123" spans="1:44" s="11" customFormat="1" ht="15.75" x14ac:dyDescent="0.25">
      <c r="A123" s="279"/>
      <c r="B123" s="279"/>
      <c r="C123" s="279"/>
      <c r="D123" s="279"/>
      <c r="E123" s="279"/>
      <c r="F123" s="279"/>
      <c r="G123" s="279"/>
      <c r="H123" s="279"/>
      <c r="I123" s="66"/>
      <c r="J123" s="69"/>
      <c r="K123" s="18"/>
      <c r="L123" s="18"/>
      <c r="M123" s="18"/>
      <c r="N123" s="18"/>
      <c r="O123" s="18"/>
      <c r="P123" s="18"/>
      <c r="Q123" s="18"/>
      <c r="R123" s="18"/>
      <c r="S123" s="18"/>
      <c r="T123" s="18"/>
      <c r="U123" s="18"/>
      <c r="V123" s="18"/>
      <c r="W123" s="18"/>
      <c r="X123" s="18"/>
      <c r="Y123" s="18"/>
      <c r="Z123" s="18"/>
      <c r="AA123" s="236">
        <v>131</v>
      </c>
      <c r="AB123" s="237" t="s">
        <v>602</v>
      </c>
      <c r="AC123" s="35">
        <v>32786894.755651686</v>
      </c>
      <c r="AD123" s="35">
        <v>2722</v>
      </c>
      <c r="AE123" s="35">
        <v>6232042.1299999999</v>
      </c>
      <c r="AF123" s="35">
        <v>517</v>
      </c>
      <c r="AG123" s="35">
        <v>84955022.880000025</v>
      </c>
      <c r="AH123" s="35">
        <v>7052</v>
      </c>
      <c r="AI123" s="35">
        <v>136623929.1156517</v>
      </c>
      <c r="AJ123" s="35">
        <v>11341</v>
      </c>
      <c r="AK123" s="72">
        <f>VLOOKUP(AA123,'FY 2018 TABLE 15'!$A$11:$M$146,6,FALSE)-AC123</f>
        <v>-101140.13225275278</v>
      </c>
      <c r="AL123" s="72">
        <f>VLOOKUP(AA123,'FY 2018 TABLE 15'!$A$11:$M$146,7,FALSE)-AD123</f>
        <v>80</v>
      </c>
      <c r="AM123" s="72">
        <f>VLOOKUP(AA123,'FY 2018 TABLE 15'!$A$11:$M$146,10,FALSE)-AE123</f>
        <v>-347417.08999999892</v>
      </c>
      <c r="AN123" s="72">
        <f>VLOOKUP(AA123,'FY 2018 TABLE 15'!$A$11:$M$146,11,FALSE)-AF123</f>
        <v>-12</v>
      </c>
      <c r="AO123" s="72">
        <f>VLOOKUP(AA123,'FY 2018 TABLE 15'!$A$11:$M$146,4,FALSE)-AG123</f>
        <v>2255226.9999999404</v>
      </c>
      <c r="AP123" s="72">
        <f>VLOOKUP(AA123,'FY 2018 TABLE 15'!$A$11:$M$146,5,FALSE)-AH123</f>
        <v>425</v>
      </c>
      <c r="AQ123" s="72">
        <f>VLOOKUP(AA123,'FY 2018 TABLE 15'!$A$11:$M$146,12,FALSE)-AI123</f>
        <v>1357974.7677471936</v>
      </c>
      <c r="AR123" s="73">
        <f>VLOOKUP(AA123,'FY 2018 TABLE 15'!$A$11:$M$146,13,FALSE)-AJ123</f>
        <v>490</v>
      </c>
    </row>
    <row r="124" spans="1:44" s="11" customFormat="1" ht="15.75" x14ac:dyDescent="0.25">
      <c r="A124" s="279"/>
      <c r="B124" s="279"/>
      <c r="C124" s="279"/>
      <c r="D124" s="279"/>
      <c r="E124" s="279"/>
      <c r="F124" s="279"/>
      <c r="G124" s="279"/>
      <c r="H124" s="279"/>
      <c r="I124" s="66"/>
      <c r="J124" s="69"/>
      <c r="K124" s="18"/>
      <c r="L124" s="18"/>
      <c r="M124" s="18"/>
      <c r="N124" s="18"/>
      <c r="O124" s="18"/>
      <c r="P124" s="18"/>
      <c r="Q124" s="18"/>
      <c r="R124" s="18"/>
      <c r="S124" s="18"/>
      <c r="T124" s="18"/>
      <c r="U124" s="18"/>
      <c r="V124" s="18"/>
      <c r="W124" s="18"/>
      <c r="X124" s="18"/>
      <c r="Y124" s="18"/>
      <c r="Z124" s="18"/>
      <c r="AA124" s="236">
        <v>132</v>
      </c>
      <c r="AB124" s="237" t="s">
        <v>269</v>
      </c>
      <c r="AC124" s="35">
        <v>19742874.752302311</v>
      </c>
      <c r="AD124" s="35">
        <v>4447</v>
      </c>
      <c r="AE124" s="35">
        <v>4681155.7</v>
      </c>
      <c r="AF124" s="35">
        <v>1054</v>
      </c>
      <c r="AG124" s="35">
        <v>29280490.499999996</v>
      </c>
      <c r="AH124" s="35">
        <v>6595</v>
      </c>
      <c r="AI124" s="35">
        <v>57969815.162302308</v>
      </c>
      <c r="AJ124" s="35">
        <v>13057</v>
      </c>
      <c r="AK124" s="72">
        <f>VLOOKUP(AA124,'FY 2018 TABLE 15'!$A$11:$M$146,6,FALSE)-AC124</f>
        <v>124235.57686019689</v>
      </c>
      <c r="AL124" s="72">
        <f>VLOOKUP(AA124,'FY 2018 TABLE 15'!$A$11:$M$146,7,FALSE)-AD124</f>
        <v>138</v>
      </c>
      <c r="AM124" s="72">
        <f>VLOOKUP(AA124,'FY 2018 TABLE 15'!$A$11:$M$146,10,FALSE)-AE124</f>
        <v>112441.59999999963</v>
      </c>
      <c r="AN124" s="72">
        <f>VLOOKUP(AA124,'FY 2018 TABLE 15'!$A$11:$M$146,11,FALSE)-AF124</f>
        <v>52</v>
      </c>
      <c r="AO124" s="72">
        <f>VLOOKUP(AA124,'FY 2018 TABLE 15'!$A$11:$M$146,4,FALSE)-AG124</f>
        <v>1070031.9500000998</v>
      </c>
      <c r="AP124" s="72">
        <f>VLOOKUP(AA124,'FY 2018 TABLE 15'!$A$11:$M$146,5,FALSE)-AH124</f>
        <v>409</v>
      </c>
      <c r="AQ124" s="72">
        <f>VLOOKUP(AA124,'FY 2018 TABLE 15'!$A$11:$M$146,12,FALSE)-AI124</f>
        <v>1129237.2768602967</v>
      </c>
      <c r="AR124" s="73">
        <f>VLOOKUP(AA124,'FY 2018 TABLE 15'!$A$11:$M$146,13,FALSE)-AJ124</f>
        <v>581</v>
      </c>
    </row>
    <row r="125" spans="1:44" s="11" customFormat="1" ht="15.75" x14ac:dyDescent="0.25">
      <c r="A125" s="279"/>
      <c r="B125" s="279"/>
      <c r="C125" s="279"/>
      <c r="D125" s="279"/>
      <c r="E125" s="279"/>
      <c r="F125" s="279"/>
      <c r="G125" s="279"/>
      <c r="H125" s="279"/>
      <c r="I125" s="66"/>
      <c r="J125" s="69"/>
      <c r="K125" s="18"/>
      <c r="L125" s="18"/>
      <c r="M125" s="18"/>
      <c r="N125" s="18"/>
      <c r="O125" s="18"/>
      <c r="P125" s="18"/>
      <c r="Q125" s="18"/>
      <c r="R125" s="18"/>
      <c r="S125" s="18"/>
      <c r="T125" s="18"/>
      <c r="U125" s="18"/>
      <c r="V125" s="18"/>
      <c r="W125" s="18"/>
      <c r="X125" s="18"/>
      <c r="Y125" s="18"/>
      <c r="Z125" s="18"/>
      <c r="AA125" s="236">
        <v>135</v>
      </c>
      <c r="AB125" s="237" t="s">
        <v>179</v>
      </c>
      <c r="AC125" s="35">
        <v>7171398.4111812022</v>
      </c>
      <c r="AD125" s="35">
        <v>6323</v>
      </c>
      <c r="AE125" s="35">
        <v>2494113.62</v>
      </c>
      <c r="AF125" s="35">
        <v>2199</v>
      </c>
      <c r="AG125" s="35">
        <v>4244238.71</v>
      </c>
      <c r="AH125" s="35">
        <v>3742</v>
      </c>
      <c r="AI125" s="35">
        <v>15348311.981181202</v>
      </c>
      <c r="AJ125" s="35">
        <v>13533</v>
      </c>
      <c r="AK125" s="72">
        <f>VLOOKUP(AA125,'FY 2018 TABLE 15'!$A$11:$M$146,6,FALSE)-AC125</f>
        <v>-184236.98494563997</v>
      </c>
      <c r="AL125" s="72">
        <f>VLOOKUP(AA125,'FY 2018 TABLE 15'!$A$11:$M$146,7,FALSE)-AD125</f>
        <v>57</v>
      </c>
      <c r="AM125" s="72">
        <f>VLOOKUP(AA125,'FY 2018 TABLE 15'!$A$11:$M$146,10,FALSE)-AE125</f>
        <v>-80685.170000000391</v>
      </c>
      <c r="AN125" s="72">
        <f>VLOOKUP(AA125,'FY 2018 TABLE 15'!$A$11:$M$146,11,FALSE)-AF125</f>
        <v>5</v>
      </c>
      <c r="AO125" s="72">
        <f>VLOOKUP(AA125,'FY 2018 TABLE 15'!$A$11:$M$146,4,FALSE)-AG125</f>
        <v>91069.189999981783</v>
      </c>
      <c r="AP125" s="72">
        <f>VLOOKUP(AA125,'FY 2018 TABLE 15'!$A$11:$M$146,5,FALSE)-AH125</f>
        <v>216</v>
      </c>
      <c r="AQ125" s="72">
        <f>VLOOKUP(AA125,'FY 2018 TABLE 15'!$A$11:$M$146,12,FALSE)-AI125</f>
        <v>-123248.40494565852</v>
      </c>
      <c r="AR125" s="73">
        <f>VLOOKUP(AA125,'FY 2018 TABLE 15'!$A$11:$M$146,13,FALSE)-AJ125</f>
        <v>369</v>
      </c>
    </row>
    <row r="126" spans="1:44" s="11" customFormat="1" ht="15.75" x14ac:dyDescent="0.25">
      <c r="A126" s="279"/>
      <c r="B126" s="279"/>
      <c r="C126" s="279"/>
      <c r="D126" s="279"/>
      <c r="E126" s="279"/>
      <c r="F126" s="279"/>
      <c r="G126" s="279"/>
      <c r="H126" s="279"/>
      <c r="I126" s="66"/>
      <c r="J126" s="69"/>
      <c r="K126" s="18"/>
      <c r="L126" s="18"/>
      <c r="M126" s="18"/>
      <c r="N126" s="18"/>
      <c r="O126" s="18"/>
      <c r="P126" s="18"/>
      <c r="Q126" s="18"/>
      <c r="R126" s="18"/>
      <c r="S126" s="18"/>
      <c r="T126" s="18"/>
      <c r="U126" s="18"/>
      <c r="V126" s="18"/>
      <c r="W126" s="18"/>
      <c r="X126" s="18"/>
      <c r="Y126" s="18"/>
      <c r="Z126" s="18"/>
      <c r="AA126" s="236">
        <v>136</v>
      </c>
      <c r="AB126" s="237" t="s">
        <v>245</v>
      </c>
      <c r="AC126" s="35">
        <v>183536696.80729613</v>
      </c>
      <c r="AD126" s="35">
        <v>4553</v>
      </c>
      <c r="AE126" s="35">
        <v>29727966.729999997</v>
      </c>
      <c r="AF126" s="35">
        <v>738</v>
      </c>
      <c r="AG126" s="35">
        <v>197636878.75</v>
      </c>
      <c r="AH126" s="35">
        <v>4903</v>
      </c>
      <c r="AI126" s="35">
        <v>454065932.31729609</v>
      </c>
      <c r="AJ126" s="35">
        <v>11265</v>
      </c>
      <c r="AK126" s="72">
        <f>VLOOKUP(AA126,'FY 2018 TABLE 15'!$A$11:$M$146,6,FALSE)-AC126</f>
        <v>11742930.775690496</v>
      </c>
      <c r="AL126" s="72">
        <f>VLOOKUP(AA126,'FY 2018 TABLE 15'!$A$11:$M$146,7,FALSE)-AD126</f>
        <v>243</v>
      </c>
      <c r="AM126" s="72">
        <f>VLOOKUP(AA126,'FY 2018 TABLE 15'!$A$11:$M$146,10,FALSE)-AE126</f>
        <v>686289</v>
      </c>
      <c r="AN126" s="72">
        <f>VLOOKUP(AA126,'FY 2018 TABLE 15'!$A$11:$M$146,11,FALSE)-AF126</f>
        <v>9</v>
      </c>
      <c r="AO126" s="72">
        <f>VLOOKUP(AA126,'FY 2018 TABLE 15'!$A$11:$M$146,4,FALSE)-AG126</f>
        <v>5366268.6100003123</v>
      </c>
      <c r="AP126" s="72">
        <f>VLOOKUP(AA126,'FY 2018 TABLE 15'!$A$11:$M$146,5,FALSE)-AH126</f>
        <v>83</v>
      </c>
      <c r="AQ126" s="72">
        <f>VLOOKUP(AA126,'FY 2018 TABLE 15'!$A$11:$M$146,12,FALSE)-AI126</f>
        <v>18886563.69569087</v>
      </c>
      <c r="AR126" s="73">
        <f>VLOOKUP(AA126,'FY 2018 TABLE 15'!$A$11:$M$146,13,FALSE)-AJ126</f>
        <v>351</v>
      </c>
    </row>
    <row r="127" spans="1:44" s="11" customFormat="1" ht="15.75" x14ac:dyDescent="0.25">
      <c r="A127" s="279"/>
      <c r="B127" s="279"/>
      <c r="C127" s="279"/>
      <c r="D127" s="279"/>
      <c r="E127" s="279"/>
      <c r="F127" s="279"/>
      <c r="G127" s="279"/>
      <c r="H127" s="279"/>
      <c r="I127" s="66"/>
      <c r="J127" s="69"/>
      <c r="K127" s="18"/>
      <c r="L127" s="18"/>
      <c r="M127" s="18"/>
      <c r="N127" s="18"/>
      <c r="O127" s="18"/>
      <c r="P127" s="18"/>
      <c r="Q127" s="18"/>
      <c r="R127" s="18"/>
      <c r="S127" s="18"/>
      <c r="T127" s="18"/>
      <c r="U127" s="18"/>
      <c r="V127" s="18"/>
      <c r="W127" s="18"/>
      <c r="X127" s="18"/>
      <c r="Y127" s="18"/>
      <c r="Z127" s="18"/>
      <c r="AA127" s="236">
        <v>137</v>
      </c>
      <c r="AB127" s="237" t="s">
        <v>253</v>
      </c>
      <c r="AC127" s="35">
        <v>2621527.3499999996</v>
      </c>
      <c r="AD127" s="35">
        <v>3892</v>
      </c>
      <c r="AE127" s="35">
        <v>310471.86</v>
      </c>
      <c r="AF127" s="35">
        <v>461</v>
      </c>
      <c r="AG127" s="35">
        <v>3146867.3000000003</v>
      </c>
      <c r="AH127" s="35">
        <v>4672</v>
      </c>
      <c r="AI127" s="35">
        <v>6713352.3499999996</v>
      </c>
      <c r="AJ127" s="35">
        <v>9968</v>
      </c>
      <c r="AK127" s="72">
        <f>VLOOKUP(AA127,'FY 2018 TABLE 15'!$A$11:$M$146,6,FALSE)-AC127</f>
        <v>79277.179999999702</v>
      </c>
      <c r="AL127" s="72">
        <f>VLOOKUP(AA127,'FY 2018 TABLE 15'!$A$11:$M$146,7,FALSE)-AD127</f>
        <v>204</v>
      </c>
      <c r="AM127" s="72">
        <f>VLOOKUP(AA127,'FY 2018 TABLE 15'!$A$11:$M$146,10,FALSE)-AE127</f>
        <v>-12904.429999999993</v>
      </c>
      <c r="AN127" s="72">
        <f>VLOOKUP(AA127,'FY 2018 TABLE 15'!$A$11:$M$146,11,FALSE)-AF127</f>
        <v>-10</v>
      </c>
      <c r="AO127" s="72">
        <f>VLOOKUP(AA127,'FY 2018 TABLE 15'!$A$11:$M$146,4,FALSE)-AG127</f>
        <v>22278.080000001937</v>
      </c>
      <c r="AP127" s="72">
        <f>VLOOKUP(AA127,'FY 2018 TABLE 15'!$A$11:$M$146,5,FALSE)-AH127</f>
        <v>134</v>
      </c>
      <c r="AQ127" s="72">
        <f>VLOOKUP(AA127,'FY 2018 TABLE 15'!$A$11:$M$146,12,FALSE)-AI127</f>
        <v>104441.23000000231</v>
      </c>
      <c r="AR127" s="73">
        <f>VLOOKUP(AA127,'FY 2018 TABLE 15'!$A$11:$M$146,13,FALSE)-AJ127</f>
        <v>371</v>
      </c>
    </row>
    <row r="128" spans="1:44" s="11" customFormat="1" ht="15.75" x14ac:dyDescent="0.25">
      <c r="A128" s="279"/>
      <c r="B128" s="279"/>
      <c r="C128" s="279"/>
      <c r="D128" s="279"/>
      <c r="E128" s="279"/>
      <c r="F128" s="279"/>
      <c r="G128" s="279"/>
      <c r="H128" s="279"/>
      <c r="I128" s="66"/>
      <c r="J128" s="69"/>
      <c r="K128" s="18"/>
      <c r="L128" s="18"/>
      <c r="M128" s="18"/>
      <c r="N128" s="18"/>
      <c r="O128" s="18"/>
      <c r="P128" s="18"/>
      <c r="Q128" s="18"/>
      <c r="R128" s="18"/>
      <c r="S128" s="18"/>
      <c r="T128" s="18"/>
      <c r="U128" s="18"/>
      <c r="V128" s="18"/>
      <c r="W128" s="18"/>
      <c r="X128" s="18"/>
      <c r="Y128" s="18"/>
      <c r="Z128" s="18"/>
      <c r="AA128" s="236">
        <v>139</v>
      </c>
      <c r="AB128" s="237" t="s">
        <v>265</v>
      </c>
      <c r="AC128" s="35">
        <v>16228670.581416288</v>
      </c>
      <c r="AD128" s="35">
        <v>4213</v>
      </c>
      <c r="AE128" s="35">
        <v>2463264.5499999998</v>
      </c>
      <c r="AF128" s="35">
        <v>640</v>
      </c>
      <c r="AG128" s="35">
        <v>19989910.250000004</v>
      </c>
      <c r="AH128" s="35">
        <v>5190</v>
      </c>
      <c r="AI128" s="35">
        <v>42434859.641416289</v>
      </c>
      <c r="AJ128" s="35">
        <v>11017</v>
      </c>
      <c r="AK128" s="72">
        <f>VLOOKUP(AA128,'FY 2018 TABLE 15'!$A$11:$M$146,6,FALSE)-AC128</f>
        <v>1253737.7047528867</v>
      </c>
      <c r="AL128" s="72">
        <f>VLOOKUP(AA128,'FY 2018 TABLE 15'!$A$11:$M$146,7,FALSE)-AD128</f>
        <v>219</v>
      </c>
      <c r="AM128" s="72">
        <f>VLOOKUP(AA128,'FY 2018 TABLE 15'!$A$11:$M$146,10,FALSE)-AE128</f>
        <v>53170.069999999832</v>
      </c>
      <c r="AN128" s="72">
        <f>VLOOKUP(AA128,'FY 2018 TABLE 15'!$A$11:$M$146,11,FALSE)-AF128</f>
        <v>-2</v>
      </c>
      <c r="AO128" s="72">
        <f>VLOOKUP(AA128,'FY 2018 TABLE 15'!$A$11:$M$146,4,FALSE)-AG128</f>
        <v>-53052.060000017285</v>
      </c>
      <c r="AP128" s="72">
        <f>VLOOKUP(AA128,'FY 2018 TABLE 15'!$A$11:$M$146,5,FALSE)-AH128</f>
        <v>-136</v>
      </c>
      <c r="AQ128" s="72">
        <f>VLOOKUP(AA128,'FY 2018 TABLE 15'!$A$11:$M$146,12,FALSE)-AI128</f>
        <v>1112193.7547528744</v>
      </c>
      <c r="AR128" s="73">
        <f>VLOOKUP(AA128,'FY 2018 TABLE 15'!$A$11:$M$146,13,FALSE)-AJ128</f>
        <v>21</v>
      </c>
    </row>
    <row r="129" spans="1:44" s="11" customFormat="1" ht="15.75" x14ac:dyDescent="0.25">
      <c r="A129" s="279"/>
      <c r="B129" s="279"/>
      <c r="C129" s="279"/>
      <c r="D129" s="279"/>
      <c r="E129" s="279"/>
      <c r="F129" s="279"/>
      <c r="G129" s="279"/>
      <c r="H129" s="279"/>
      <c r="I129" s="66"/>
      <c r="J129" s="69"/>
      <c r="K129" s="18"/>
      <c r="L129" s="18"/>
      <c r="M129" s="18"/>
      <c r="N129" s="18"/>
      <c r="O129" s="18"/>
      <c r="P129" s="18"/>
      <c r="Q129" s="18"/>
      <c r="R129" s="18"/>
      <c r="S129" s="18"/>
      <c r="T129" s="18"/>
      <c r="U129" s="18"/>
      <c r="V129" s="18"/>
      <c r="W129" s="18"/>
      <c r="X129" s="18"/>
      <c r="Y129" s="18"/>
      <c r="Z129" s="18"/>
      <c r="AA129" s="236">
        <v>142</v>
      </c>
      <c r="AB129" s="237" t="s">
        <v>262</v>
      </c>
      <c r="AC129" s="35">
        <v>8561782.8605584782</v>
      </c>
      <c r="AD129" s="35">
        <v>4141</v>
      </c>
      <c r="AE129" s="35">
        <v>1087959.6300000001</v>
      </c>
      <c r="AF129" s="35">
        <v>526</v>
      </c>
      <c r="AG129" s="35">
        <v>10582539.149999999</v>
      </c>
      <c r="AH129" s="35">
        <v>5118</v>
      </c>
      <c r="AI129" s="35">
        <v>22517125.780558478</v>
      </c>
      <c r="AJ129" s="35">
        <v>10890</v>
      </c>
      <c r="AK129" s="72">
        <f>VLOOKUP(AA129,'FY 2018 TABLE 15'!$A$11:$M$146,6,FALSE)-AC129</f>
        <v>511239.4309524186</v>
      </c>
      <c r="AL129" s="72">
        <f>VLOOKUP(AA129,'FY 2018 TABLE 15'!$A$11:$M$146,7,FALSE)-AD129</f>
        <v>149</v>
      </c>
      <c r="AM129" s="72">
        <f>VLOOKUP(AA129,'FY 2018 TABLE 15'!$A$11:$M$146,10,FALSE)-AE129</f>
        <v>122131.51000000001</v>
      </c>
      <c r="AN129" s="72">
        <f>VLOOKUP(AA129,'FY 2018 TABLE 15'!$A$11:$M$146,11,FALSE)-AF129</f>
        <v>46</v>
      </c>
      <c r="AO129" s="72">
        <f>VLOOKUP(AA129,'FY 2018 TABLE 15'!$A$11:$M$146,4,FALSE)-AG129</f>
        <v>276505.62999997661</v>
      </c>
      <c r="AP129" s="72">
        <f>VLOOKUP(AA129,'FY 2018 TABLE 15'!$A$11:$M$146,5,FALSE)-AH129</f>
        <v>17</v>
      </c>
      <c r="AQ129" s="72">
        <f>VLOOKUP(AA129,'FY 2018 TABLE 15'!$A$11:$M$146,12,FALSE)-AI129</f>
        <v>977291.19095239416</v>
      </c>
      <c r="AR129" s="73">
        <f>VLOOKUP(AA129,'FY 2018 TABLE 15'!$A$11:$M$146,13,FALSE)-AJ129</f>
        <v>219</v>
      </c>
    </row>
    <row r="130" spans="1:44" s="11" customFormat="1" ht="15.75" x14ac:dyDescent="0.25">
      <c r="A130" s="279"/>
      <c r="B130" s="279"/>
      <c r="C130" s="279"/>
      <c r="D130" s="279"/>
      <c r="E130" s="279"/>
      <c r="F130" s="279"/>
      <c r="G130" s="279"/>
      <c r="H130" s="279"/>
      <c r="I130" s="66"/>
      <c r="J130" s="69"/>
      <c r="K130" s="18"/>
      <c r="L130" s="18"/>
      <c r="M130" s="18"/>
      <c r="N130" s="18"/>
      <c r="O130" s="18"/>
      <c r="P130" s="18"/>
      <c r="Q130" s="18"/>
      <c r="R130" s="18"/>
      <c r="S130" s="18"/>
      <c r="T130" s="18"/>
      <c r="U130" s="18"/>
      <c r="V130" s="18"/>
      <c r="W130" s="18"/>
      <c r="X130" s="18"/>
      <c r="Y130" s="18"/>
      <c r="Z130" s="18"/>
      <c r="AA130" s="236">
        <v>143</v>
      </c>
      <c r="AB130" s="237" t="s">
        <v>255</v>
      </c>
      <c r="AC130" s="35">
        <v>41128334.02358859</v>
      </c>
      <c r="AD130" s="35">
        <v>5316</v>
      </c>
      <c r="AE130" s="35">
        <v>6221540.4100000001</v>
      </c>
      <c r="AF130" s="35">
        <v>804</v>
      </c>
      <c r="AG130" s="35">
        <v>46794723.230000004</v>
      </c>
      <c r="AH130" s="35">
        <v>6048</v>
      </c>
      <c r="AI130" s="35">
        <v>101769179.20358859</v>
      </c>
      <c r="AJ130" s="35">
        <v>13154</v>
      </c>
      <c r="AK130" s="72">
        <f>VLOOKUP(AA130,'FY 2018 TABLE 15'!$A$11:$M$146,6,FALSE)-AC130</f>
        <v>1669025.6283490807</v>
      </c>
      <c r="AL130" s="72">
        <f>VLOOKUP(AA130,'FY 2018 TABLE 15'!$A$11:$M$146,7,FALSE)-AD130</f>
        <v>183</v>
      </c>
      <c r="AM130" s="72">
        <f>VLOOKUP(AA130,'FY 2018 TABLE 15'!$A$11:$M$146,10,FALSE)-AE130</f>
        <v>-295933.21999999974</v>
      </c>
      <c r="AN130" s="72">
        <f>VLOOKUP(AA130,'FY 2018 TABLE 15'!$A$11:$M$146,11,FALSE)-AF130</f>
        <v>-43</v>
      </c>
      <c r="AO130" s="72">
        <f>VLOOKUP(AA130,'FY 2018 TABLE 15'!$A$11:$M$146,4,FALSE)-AG130</f>
        <v>-643087.52000018209</v>
      </c>
      <c r="AP130" s="72">
        <f>VLOOKUP(AA130,'FY 2018 TABLE 15'!$A$11:$M$146,5,FALSE)-AH130</f>
        <v>-118</v>
      </c>
      <c r="AQ130" s="72">
        <f>VLOOKUP(AA130,'FY 2018 TABLE 15'!$A$11:$M$146,12,FALSE)-AI130</f>
        <v>400301.92834889889</v>
      </c>
      <c r="AR130" s="73">
        <f>VLOOKUP(AA130,'FY 2018 TABLE 15'!$A$11:$M$146,13,FALSE)-AJ130</f>
        <v>-27</v>
      </c>
    </row>
    <row r="131" spans="1:44" s="11" customFormat="1" ht="15.75" x14ac:dyDescent="0.25">
      <c r="A131" s="279"/>
      <c r="B131" s="279"/>
      <c r="C131" s="279"/>
      <c r="D131" s="279"/>
      <c r="E131" s="279"/>
      <c r="F131" s="279"/>
      <c r="G131" s="279"/>
      <c r="H131" s="279"/>
      <c r="I131" s="66"/>
      <c r="J131" s="69"/>
      <c r="K131" s="18"/>
      <c r="L131" s="18"/>
      <c r="M131" s="18"/>
      <c r="N131" s="18"/>
      <c r="O131" s="18"/>
      <c r="P131" s="18"/>
      <c r="Q131" s="18"/>
      <c r="R131" s="18"/>
      <c r="S131" s="18"/>
      <c r="T131" s="18"/>
      <c r="U131" s="18"/>
      <c r="V131" s="18"/>
      <c r="W131" s="18"/>
      <c r="X131" s="18"/>
      <c r="Y131" s="18"/>
      <c r="Z131" s="18"/>
      <c r="AA131" s="236">
        <v>144</v>
      </c>
      <c r="AB131" s="237" t="s">
        <v>256</v>
      </c>
      <c r="AC131" s="35">
        <v>22353730.758258253</v>
      </c>
      <c r="AD131" s="35">
        <v>6167</v>
      </c>
      <c r="AE131" s="35">
        <v>2804297.26</v>
      </c>
      <c r="AF131" s="35">
        <v>774</v>
      </c>
      <c r="AG131" s="35">
        <v>11635150.619999992</v>
      </c>
      <c r="AH131" s="35">
        <v>3210</v>
      </c>
      <c r="AI131" s="35">
        <v>39767725.118258245</v>
      </c>
      <c r="AJ131" s="35">
        <v>10971</v>
      </c>
      <c r="AK131" s="72">
        <f>VLOOKUP(AA131,'FY 2018 TABLE 15'!$A$11:$M$146,6,FALSE)-AC131</f>
        <v>324347.82580661774</v>
      </c>
      <c r="AL131" s="72">
        <f>VLOOKUP(AA131,'FY 2018 TABLE 15'!$A$11:$M$146,7,FALSE)-AD131</f>
        <v>-55</v>
      </c>
      <c r="AM131" s="72">
        <f>VLOOKUP(AA131,'FY 2018 TABLE 15'!$A$11:$M$146,10,FALSE)-AE131</f>
        <v>-251664.34000000032</v>
      </c>
      <c r="AN131" s="72">
        <f>VLOOKUP(AA131,'FY 2018 TABLE 15'!$A$11:$M$146,11,FALSE)-AF131</f>
        <v>-86</v>
      </c>
      <c r="AO131" s="72">
        <f>VLOOKUP(AA131,'FY 2018 TABLE 15'!$A$11:$M$146,4,FALSE)-AG131</f>
        <v>919528.60999999382</v>
      </c>
      <c r="AP131" s="72">
        <f>VLOOKUP(AA131,'FY 2018 TABLE 15'!$A$11:$M$146,5,FALSE)-AH131</f>
        <v>173</v>
      </c>
      <c r="AQ131" s="72">
        <f>VLOOKUP(AA131,'FY 2018 TABLE 15'!$A$11:$M$146,12,FALSE)-AI131</f>
        <v>946033.43580660969</v>
      </c>
      <c r="AR131" s="73">
        <f>VLOOKUP(AA131,'FY 2018 TABLE 15'!$A$11:$M$146,13,FALSE)-AJ131</f>
        <v>1</v>
      </c>
    </row>
    <row r="132" spans="1:44" s="11" customFormat="1" ht="15.75" x14ac:dyDescent="0.25">
      <c r="A132" s="279"/>
      <c r="B132" s="279"/>
      <c r="C132" s="279"/>
      <c r="D132" s="279"/>
      <c r="E132" s="279"/>
      <c r="F132" s="279"/>
      <c r="G132" s="279"/>
      <c r="H132" s="279"/>
      <c r="I132" s="66"/>
      <c r="J132" s="69"/>
      <c r="K132" s="18"/>
      <c r="L132" s="18"/>
      <c r="M132" s="18"/>
      <c r="N132" s="18"/>
      <c r="O132" s="18"/>
      <c r="P132" s="18"/>
      <c r="Q132" s="18"/>
      <c r="R132" s="18"/>
      <c r="S132" s="18"/>
      <c r="T132" s="18"/>
      <c r="U132" s="18"/>
      <c r="V132" s="18"/>
      <c r="W132" s="18"/>
      <c r="X132" s="18"/>
      <c r="Y132" s="18"/>
      <c r="Z132" s="18"/>
      <c r="AA132" s="236">
        <v>202</v>
      </c>
      <c r="AB132" s="237" t="s">
        <v>271</v>
      </c>
      <c r="AC132" s="35">
        <v>3311957.3885422219</v>
      </c>
      <c r="AD132" s="35">
        <v>5585</v>
      </c>
      <c r="AE132" s="35">
        <v>767442.96</v>
      </c>
      <c r="AF132" s="35">
        <v>1294</v>
      </c>
      <c r="AG132" s="35">
        <v>3680650.9800000004</v>
      </c>
      <c r="AH132" s="35">
        <v>6207</v>
      </c>
      <c r="AI132" s="35">
        <v>8267126.7385422224</v>
      </c>
      <c r="AJ132" s="35">
        <v>13941</v>
      </c>
      <c r="AK132" s="72">
        <f>VLOOKUP(AA132,'FY 2018 TABLE 15'!$A$11:$M$146,6,FALSE)-AC132</f>
        <v>412696.96841806127</v>
      </c>
      <c r="AL132" s="72">
        <f>VLOOKUP(AA132,'FY 2018 TABLE 15'!$A$11:$M$146,7,FALSE)-AD132</f>
        <v>292</v>
      </c>
      <c r="AM132" s="72">
        <f>VLOOKUP(AA132,'FY 2018 TABLE 15'!$A$11:$M$146,10,FALSE)-AE132</f>
        <v>21687.270000000135</v>
      </c>
      <c r="AN132" s="72">
        <f>VLOOKUP(AA132,'FY 2018 TABLE 15'!$A$11:$M$146,11,FALSE)-AF132</f>
        <v>-49</v>
      </c>
      <c r="AO132" s="72">
        <f>VLOOKUP(AA132,'FY 2018 TABLE 15'!$A$11:$M$146,4,FALSE)-AG132</f>
        <v>-1315522.080000001</v>
      </c>
      <c r="AP132" s="72">
        <f>VLOOKUP(AA132,'FY 2018 TABLE 15'!$A$11:$M$146,5,FALSE)-AH132</f>
        <v>-2475</v>
      </c>
      <c r="AQ132" s="72">
        <f>VLOOKUP(AA132,'FY 2018 TABLE 15'!$A$11:$M$146,12,FALSE)-AI132</f>
        <v>-871448.86158193927</v>
      </c>
      <c r="AR132" s="73">
        <f>VLOOKUP(AA132,'FY 2018 TABLE 15'!$A$11:$M$146,13,FALSE)-AJ132</f>
        <v>-2272</v>
      </c>
    </row>
    <row r="133" spans="1:44" s="11" customFormat="1" ht="15.75" x14ac:dyDescent="0.25">
      <c r="A133" s="279"/>
      <c r="B133" s="279"/>
      <c r="C133" s="279"/>
      <c r="D133" s="279"/>
      <c r="E133" s="279"/>
      <c r="F133" s="279"/>
      <c r="G133" s="279"/>
      <c r="H133" s="279"/>
      <c r="I133" s="66"/>
      <c r="J133" s="69"/>
      <c r="K133" s="18"/>
      <c r="L133" s="18"/>
      <c r="M133" s="18"/>
      <c r="N133" s="18"/>
      <c r="O133" s="18"/>
      <c r="P133" s="18"/>
      <c r="Q133" s="18"/>
      <c r="R133" s="18"/>
      <c r="S133" s="18"/>
      <c r="T133" s="18"/>
      <c r="U133" s="18"/>
      <c r="V133" s="18"/>
      <c r="W133" s="18"/>
      <c r="X133" s="18"/>
      <c r="Y133" s="18"/>
      <c r="Z133" s="18"/>
      <c r="AA133" s="236">
        <v>207</v>
      </c>
      <c r="AB133" s="237" t="s">
        <v>272</v>
      </c>
      <c r="AC133" s="35">
        <v>4471600.5599999996</v>
      </c>
      <c r="AD133" s="35">
        <v>5648</v>
      </c>
      <c r="AE133" s="35">
        <v>389565.38</v>
      </c>
      <c r="AF133" s="35">
        <v>492</v>
      </c>
      <c r="AG133" s="35">
        <v>4347146.2200000007</v>
      </c>
      <c r="AH133" s="35">
        <v>5491</v>
      </c>
      <c r="AI133" s="35">
        <v>9883379.4800000004</v>
      </c>
      <c r="AJ133" s="35">
        <v>12484</v>
      </c>
      <c r="AK133" s="72">
        <f>VLOOKUP(AA133,'FY 2018 TABLE 15'!$A$11:$M$146,6,FALSE)-AC133</f>
        <v>194716.73000000138</v>
      </c>
      <c r="AL133" s="72">
        <f>VLOOKUP(AA133,'FY 2018 TABLE 15'!$A$11:$M$146,7,FALSE)-AD133</f>
        <v>122</v>
      </c>
      <c r="AM133" s="72">
        <f>VLOOKUP(AA133,'FY 2018 TABLE 15'!$A$11:$M$146,10,FALSE)-AE133</f>
        <v>38128.739999999991</v>
      </c>
      <c r="AN133" s="72">
        <f>VLOOKUP(AA133,'FY 2018 TABLE 15'!$A$11:$M$146,11,FALSE)-AF133</f>
        <v>37</v>
      </c>
      <c r="AO133" s="72">
        <f>VLOOKUP(AA133,'FY 2018 TABLE 15'!$A$11:$M$146,4,FALSE)-AG133</f>
        <v>335653.53000000026</v>
      </c>
      <c r="AP133" s="72">
        <f>VLOOKUP(AA133,'FY 2018 TABLE 15'!$A$11:$M$146,5,FALSE)-AH133</f>
        <v>299</v>
      </c>
      <c r="AQ133" s="72">
        <f>VLOOKUP(AA133,'FY 2018 TABLE 15'!$A$11:$M$146,12,FALSE)-AI133</f>
        <v>547714.49000000209</v>
      </c>
      <c r="AR133" s="73">
        <f>VLOOKUP(AA133,'FY 2018 TABLE 15'!$A$11:$M$146,13,FALSE)-AJ133</f>
        <v>414</v>
      </c>
    </row>
    <row r="134" spans="1:44" x14ac:dyDescent="0.2">
      <c r="A134" s="279"/>
      <c r="B134" s="279"/>
      <c r="C134" s="279"/>
      <c r="D134" s="279"/>
      <c r="E134" s="279"/>
      <c r="F134" s="279"/>
      <c r="G134" s="279"/>
      <c r="H134" s="279"/>
      <c r="I134" s="65"/>
      <c r="J134" s="22"/>
      <c r="K134" s="17"/>
      <c r="L134" s="17"/>
      <c r="M134" s="17"/>
      <c r="N134" s="17"/>
      <c r="O134" s="17"/>
      <c r="P134" s="17"/>
      <c r="Q134" s="17"/>
      <c r="R134" s="17"/>
      <c r="S134" s="17"/>
      <c r="T134" s="17"/>
      <c r="U134" s="17"/>
      <c r="V134" s="17"/>
      <c r="W134" s="17"/>
      <c r="X134" s="17"/>
      <c r="Y134" s="17"/>
      <c r="Z134" s="17"/>
      <c r="AA134" s="33"/>
      <c r="AB134" s="34"/>
      <c r="AC134" s="35"/>
      <c r="AD134" s="35"/>
      <c r="AE134" s="35"/>
      <c r="AF134" s="35"/>
      <c r="AG134" s="35"/>
      <c r="AH134" s="35"/>
      <c r="AI134" s="35"/>
      <c r="AJ134" s="35"/>
      <c r="AK134" s="72"/>
      <c r="AL134" s="72"/>
      <c r="AM134" s="72"/>
      <c r="AN134" s="72"/>
      <c r="AO134" s="72"/>
      <c r="AP134" s="72"/>
      <c r="AQ134" s="72"/>
      <c r="AR134" s="73"/>
    </row>
    <row r="135" spans="1:44" x14ac:dyDescent="0.2">
      <c r="A135" s="279"/>
      <c r="B135" s="279"/>
      <c r="C135" s="279"/>
      <c r="D135" s="279"/>
      <c r="E135" s="279"/>
      <c r="F135" s="279"/>
      <c r="G135" s="279"/>
      <c r="H135" s="279"/>
      <c r="I135" s="65"/>
      <c r="J135" s="22"/>
      <c r="K135" s="17"/>
      <c r="L135" s="17"/>
      <c r="M135" s="17"/>
      <c r="N135" s="17"/>
      <c r="O135" s="17"/>
      <c r="P135" s="17"/>
      <c r="Q135" s="17"/>
      <c r="R135" s="17"/>
      <c r="S135" s="17"/>
      <c r="T135" s="17"/>
      <c r="U135" s="17"/>
      <c r="V135" s="17"/>
      <c r="W135" s="17"/>
      <c r="X135" s="17"/>
      <c r="Y135" s="17"/>
      <c r="Z135" s="17"/>
      <c r="AA135" s="33"/>
      <c r="AB135" s="34"/>
      <c r="AC135" s="35"/>
      <c r="AD135" s="35"/>
      <c r="AE135" s="35"/>
      <c r="AF135" s="35"/>
      <c r="AG135" s="35"/>
      <c r="AH135" s="35"/>
      <c r="AI135" s="35"/>
      <c r="AJ135" s="35"/>
      <c r="AK135" s="72"/>
      <c r="AL135" s="72"/>
      <c r="AM135" s="72"/>
      <c r="AN135" s="72"/>
      <c r="AO135" s="72"/>
      <c r="AP135" s="72"/>
      <c r="AQ135" s="72"/>
      <c r="AR135" s="73"/>
    </row>
    <row r="136" spans="1:44" ht="15.75" thickBot="1" x14ac:dyDescent="0.25">
      <c r="A136" s="279"/>
      <c r="B136" s="279"/>
      <c r="C136" s="279"/>
      <c r="D136" s="279"/>
      <c r="E136" s="279"/>
      <c r="F136" s="279"/>
      <c r="G136" s="279"/>
      <c r="H136" s="279"/>
      <c r="I136" s="65"/>
      <c r="J136" s="22"/>
      <c r="K136" s="17"/>
      <c r="L136" s="17"/>
      <c r="M136" s="17"/>
      <c r="N136" s="17"/>
      <c r="O136" s="17"/>
      <c r="P136" s="17"/>
      <c r="Q136" s="17"/>
      <c r="R136" s="17"/>
      <c r="S136" s="17"/>
      <c r="T136" s="17"/>
      <c r="U136" s="17"/>
      <c r="V136" s="17"/>
      <c r="W136" s="17"/>
      <c r="X136" s="17"/>
      <c r="Y136" s="17"/>
      <c r="Z136" s="17"/>
      <c r="AA136" s="40"/>
      <c r="AB136" s="41"/>
      <c r="AC136" s="42">
        <f>SUM(AC2:AC133)</f>
        <v>5132518582.3499994</v>
      </c>
      <c r="AD136" s="42">
        <f>AC136/'Source Data'!$Q$138</f>
        <v>4037.7092613229393</v>
      </c>
      <c r="AE136" s="42">
        <f>SUM(AE2:AE133)</f>
        <v>1118654107.23</v>
      </c>
      <c r="AF136" s="42">
        <f>AE136/'Source Data'!$Q$138</f>
        <v>880.0357907153317</v>
      </c>
      <c r="AG136" s="42">
        <f>SUM(AG2:AG133)</f>
        <v>8024690150.3899975</v>
      </c>
      <c r="AH136" s="42">
        <f>AG136/'Source Data'!$Q$138</f>
        <v>6312.9563428957363</v>
      </c>
      <c r="AI136" s="42">
        <f>SUM(AI2:AI133)</f>
        <v>15630428906.949993</v>
      </c>
      <c r="AJ136" s="42">
        <f>AI136/'Source Data'!$Q$138</f>
        <v>12296.32714298823</v>
      </c>
      <c r="AK136" s="74"/>
      <c r="AL136" s="74"/>
      <c r="AM136" s="74"/>
      <c r="AN136" s="74"/>
      <c r="AO136" s="74"/>
      <c r="AP136" s="74"/>
      <c r="AQ136" s="74"/>
      <c r="AR136" s="75"/>
    </row>
    <row r="137" spans="1:44" x14ac:dyDescent="0.2">
      <c r="A137" s="23"/>
      <c r="B137" s="23"/>
      <c r="C137" s="23"/>
      <c r="D137" s="23"/>
      <c r="E137" s="23"/>
      <c r="F137" s="23"/>
      <c r="G137" s="23"/>
      <c r="H137" s="23"/>
      <c r="I137" s="65"/>
      <c r="J137" s="22"/>
      <c r="K137" s="17"/>
      <c r="L137" s="17"/>
      <c r="M137" s="17"/>
      <c r="N137" s="17"/>
      <c r="O137" s="17"/>
      <c r="P137" s="17"/>
      <c r="Q137" s="17"/>
      <c r="R137" s="17"/>
      <c r="S137" s="17"/>
      <c r="T137" s="17"/>
      <c r="U137" s="17"/>
      <c r="V137" s="17"/>
      <c r="W137" s="17"/>
      <c r="X137" s="17"/>
      <c r="Y137" s="17"/>
      <c r="Z137" s="17"/>
      <c r="AA137" s="17"/>
      <c r="AB137" s="17"/>
      <c r="AC137" s="25">
        <f>AC136-'FY 2018 TABLE 15'!F146</f>
        <v>-225542788.88999748</v>
      </c>
      <c r="AD137" s="25">
        <f>AD136-'FY 2018 TABLE 15'!G146</f>
        <v>-128.29073867706074</v>
      </c>
      <c r="AE137" s="25">
        <f>AE136-'FY 2018 TABLE 15'!J146</f>
        <v>3455022.1999998093</v>
      </c>
      <c r="AF137" s="25">
        <f>AF136-'FY 2018 TABLE 15'!K146</f>
        <v>13.0357907153317</v>
      </c>
      <c r="AG137" s="25">
        <f>AG136-'FY 2018 TABLE 15'!D146</f>
        <v>-285886301.61999702</v>
      </c>
      <c r="AH137" s="25">
        <f>AH136-'FY 2018 TABLE 15'!E146</f>
        <v>-149.04365710426373</v>
      </c>
      <c r="AI137" s="25">
        <f>AI136-'FY 2018 TABLE 15'!L146</f>
        <v>-506880787.22000694</v>
      </c>
      <c r="AJ137" s="25">
        <f>AJ136-'FY 2018 TABLE 15'!M146</f>
        <v>-251.67285701177025</v>
      </c>
      <c r="AK137" s="96">
        <f>SUM(AK2:AK133)</f>
        <v>225542788.88999984</v>
      </c>
      <c r="AL137" s="96">
        <f t="shared" ref="AL137:AR137" si="0">SUM(AL2:AL133)</f>
        <v>22748</v>
      </c>
      <c r="AM137" s="96">
        <f t="shared" si="0"/>
        <v>-3455022.2000000579</v>
      </c>
      <c r="AN137" s="96">
        <f t="shared" si="0"/>
        <v>2560</v>
      </c>
      <c r="AO137" s="96">
        <f t="shared" si="0"/>
        <v>285886301.61999851</v>
      </c>
      <c r="AP137" s="96">
        <f t="shared" si="0"/>
        <v>25512</v>
      </c>
      <c r="AQ137" s="96">
        <f t="shared" si="0"/>
        <v>506880787.21999884</v>
      </c>
      <c r="AR137" s="96">
        <f t="shared" si="0"/>
        <v>49413</v>
      </c>
    </row>
    <row r="138" spans="1:44" x14ac:dyDescent="0.2">
      <c r="A138" s="23"/>
      <c r="B138" s="23"/>
      <c r="C138" s="23"/>
      <c r="D138" s="23"/>
      <c r="E138" s="23"/>
      <c r="F138" s="23"/>
      <c r="G138" s="23"/>
      <c r="H138" s="23"/>
      <c r="I138" s="65"/>
      <c r="J138" s="22"/>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25"/>
      <c r="AL138" s="25"/>
      <c r="AM138" s="17"/>
      <c r="AN138" s="17"/>
      <c r="AO138" s="25"/>
      <c r="AP138" s="25"/>
      <c r="AQ138" s="25"/>
      <c r="AR138" s="25"/>
    </row>
    <row r="139" spans="1:44" x14ac:dyDescent="0.2">
      <c r="A139" s="23"/>
      <c r="B139" s="23"/>
      <c r="C139" s="23"/>
      <c r="D139" s="23"/>
      <c r="E139" s="23"/>
      <c r="F139" s="23"/>
      <c r="G139" s="23"/>
      <c r="H139" s="23"/>
      <c r="I139" s="65"/>
      <c r="J139" s="22"/>
      <c r="K139" s="17"/>
      <c r="L139" s="17"/>
      <c r="M139" s="17"/>
      <c r="N139" s="17"/>
      <c r="O139" s="17"/>
      <c r="P139" s="17"/>
      <c r="Q139" s="17"/>
      <c r="R139" s="17"/>
      <c r="S139" s="17"/>
      <c r="T139" s="17"/>
      <c r="U139" s="17"/>
      <c r="V139" s="17"/>
      <c r="W139" s="17"/>
      <c r="X139" s="17"/>
      <c r="Y139" s="17"/>
      <c r="Z139" s="17"/>
      <c r="AA139" s="43"/>
      <c r="AB139" s="43"/>
      <c r="AC139" s="43"/>
      <c r="AD139" s="43"/>
      <c r="AE139" s="43"/>
      <c r="AF139" s="43"/>
      <c r="AG139" s="43"/>
      <c r="AH139" s="43"/>
      <c r="AI139" s="43"/>
      <c r="AJ139" s="43"/>
      <c r="AK139" s="43"/>
      <c r="AL139" s="43"/>
      <c r="AM139" s="43"/>
      <c r="AN139" s="43"/>
      <c r="AO139" s="43"/>
      <c r="AP139" s="43"/>
      <c r="AQ139" s="43"/>
      <c r="AR139" s="43"/>
    </row>
    <row r="140" spans="1:44" ht="15.75" x14ac:dyDescent="0.25">
      <c r="A140" s="23"/>
      <c r="B140" s="23"/>
      <c r="C140" s="23"/>
      <c r="D140" s="23"/>
      <c r="E140" s="23"/>
      <c r="F140" s="23"/>
      <c r="G140" s="23"/>
      <c r="H140" s="23"/>
      <c r="I140" s="65"/>
      <c r="J140" s="22"/>
      <c r="K140" s="17"/>
      <c r="L140" s="17"/>
      <c r="M140" s="17"/>
      <c r="N140" s="17"/>
      <c r="O140" s="17"/>
      <c r="P140" s="17"/>
      <c r="Q140" s="17"/>
      <c r="R140" s="17"/>
      <c r="S140" s="17"/>
      <c r="T140" s="17"/>
      <c r="U140" s="17"/>
      <c r="V140" s="17"/>
      <c r="W140" s="17"/>
      <c r="X140" s="17"/>
      <c r="Y140" s="17"/>
      <c r="Z140" s="17"/>
      <c r="AA140" s="43"/>
      <c r="AB140" s="43"/>
      <c r="AC140" s="43"/>
      <c r="AD140" s="43"/>
      <c r="AE140" s="43"/>
      <c r="AF140" s="43"/>
      <c r="AG140" s="43"/>
      <c r="AH140" s="43"/>
      <c r="AI140" s="43"/>
      <c r="AJ140" s="43"/>
      <c r="AK140" s="43"/>
      <c r="AL140" s="43"/>
      <c r="AM140" s="43"/>
      <c r="AN140" s="43"/>
      <c r="AO140" s="43"/>
      <c r="AP140" s="43"/>
      <c r="AQ140" s="43"/>
      <c r="AR140" s="44"/>
    </row>
    <row r="141" spans="1:44" x14ac:dyDescent="0.2">
      <c r="A141" s="23"/>
      <c r="B141" s="23"/>
      <c r="C141" s="23"/>
      <c r="D141" s="23"/>
      <c r="E141" s="23"/>
      <c r="F141" s="23"/>
      <c r="G141" s="23"/>
      <c r="H141" s="23"/>
      <c r="I141" s="65"/>
      <c r="J141" s="22"/>
      <c r="K141" s="17"/>
      <c r="L141" s="17"/>
      <c r="M141" s="17"/>
      <c r="N141" s="17"/>
      <c r="O141" s="17"/>
      <c r="P141" s="17"/>
      <c r="Q141" s="17"/>
      <c r="R141" s="17"/>
      <c r="S141" s="17"/>
      <c r="T141" s="17"/>
      <c r="U141" s="17"/>
      <c r="V141" s="17"/>
      <c r="W141" s="17"/>
      <c r="X141" s="17"/>
      <c r="Y141" s="17"/>
      <c r="Z141" s="17"/>
      <c r="AA141" s="43"/>
      <c r="AB141" s="43"/>
      <c r="AC141" s="43"/>
      <c r="AD141" s="43"/>
      <c r="AE141" s="43"/>
      <c r="AF141" s="43"/>
      <c r="AG141" s="43"/>
      <c r="AH141" s="43"/>
      <c r="AI141" s="43"/>
      <c r="AJ141" s="43"/>
      <c r="AK141" s="43"/>
      <c r="AL141" s="43"/>
      <c r="AM141" s="43"/>
      <c r="AN141" s="43"/>
      <c r="AO141" s="43"/>
      <c r="AP141" s="43"/>
      <c r="AQ141" s="43"/>
      <c r="AR141" s="43"/>
    </row>
    <row r="142" spans="1:44" x14ac:dyDescent="0.2">
      <c r="A142" s="23"/>
      <c r="B142" s="23"/>
      <c r="C142" s="23"/>
      <c r="D142" s="23"/>
      <c r="E142" s="23"/>
      <c r="F142" s="23"/>
      <c r="G142" s="23"/>
      <c r="H142" s="23"/>
      <c r="I142" s="65"/>
      <c r="J142" s="22"/>
      <c r="K142" s="17"/>
      <c r="L142" s="17"/>
      <c r="M142" s="17"/>
      <c r="N142" s="17"/>
      <c r="O142" s="17"/>
      <c r="P142" s="17"/>
      <c r="Q142" s="17"/>
      <c r="R142" s="17"/>
      <c r="S142" s="17"/>
      <c r="T142" s="17"/>
      <c r="U142" s="17"/>
      <c r="V142" s="17"/>
      <c r="W142" s="17"/>
      <c r="X142" s="17"/>
      <c r="Y142" s="17"/>
      <c r="Z142" s="17"/>
      <c r="AA142" s="43"/>
      <c r="AB142" s="43"/>
      <c r="AC142" s="43"/>
      <c r="AD142" s="43"/>
      <c r="AE142" s="43"/>
      <c r="AF142" s="43"/>
      <c r="AG142" s="43"/>
      <c r="AH142" s="43"/>
      <c r="AI142" s="43"/>
      <c r="AJ142" s="43"/>
      <c r="AK142" s="43"/>
      <c r="AL142" s="43"/>
      <c r="AM142" s="43"/>
      <c r="AN142" s="43"/>
      <c r="AO142" s="43"/>
      <c r="AP142" s="43"/>
      <c r="AQ142" s="43"/>
      <c r="AR142" s="43"/>
    </row>
    <row r="143" spans="1:44" x14ac:dyDescent="0.2">
      <c r="A143" s="23"/>
      <c r="B143" s="23"/>
      <c r="C143" s="23"/>
      <c r="D143" s="23"/>
      <c r="E143" s="23"/>
      <c r="F143" s="23"/>
      <c r="G143" s="23"/>
      <c r="H143" s="23"/>
      <c r="I143" s="65"/>
      <c r="J143" s="22"/>
      <c r="K143" s="17"/>
      <c r="L143" s="17"/>
      <c r="M143" s="17"/>
      <c r="N143" s="17"/>
      <c r="O143" s="17"/>
      <c r="P143" s="17"/>
      <c r="Q143" s="17"/>
      <c r="R143" s="17"/>
      <c r="S143" s="17"/>
      <c r="T143" s="17"/>
      <c r="U143" s="17"/>
      <c r="V143" s="17"/>
      <c r="W143" s="17"/>
      <c r="X143" s="17"/>
      <c r="Y143" s="17"/>
      <c r="Z143" s="17"/>
      <c r="AA143" s="43"/>
      <c r="AB143" s="43"/>
      <c r="AC143" s="43"/>
      <c r="AD143" s="43"/>
      <c r="AE143" s="43"/>
      <c r="AF143" s="43"/>
      <c r="AG143" s="43"/>
      <c r="AH143" s="43"/>
      <c r="AI143" s="43"/>
      <c r="AJ143" s="43"/>
      <c r="AK143" s="43"/>
      <c r="AL143" s="43"/>
      <c r="AM143" s="43"/>
      <c r="AN143" s="43"/>
      <c r="AO143" s="43"/>
      <c r="AP143" s="43"/>
      <c r="AQ143" s="43"/>
      <c r="AR143" s="43"/>
    </row>
    <row r="144" spans="1:44" x14ac:dyDescent="0.2">
      <c r="A144" s="23"/>
      <c r="B144" s="23"/>
      <c r="C144" s="23"/>
      <c r="D144" s="23"/>
      <c r="E144" s="23"/>
      <c r="F144" s="23"/>
      <c r="G144" s="23"/>
      <c r="H144" s="23"/>
      <c r="I144" s="65"/>
      <c r="J144" s="22"/>
      <c r="K144" s="17"/>
      <c r="L144" s="17"/>
      <c r="M144" s="17"/>
      <c r="N144" s="17"/>
      <c r="O144" s="17"/>
      <c r="P144" s="17"/>
      <c r="Q144" s="17"/>
      <c r="R144" s="17"/>
      <c r="S144" s="17"/>
      <c r="T144" s="17"/>
      <c r="U144" s="17"/>
      <c r="V144" s="17"/>
      <c r="W144" s="17"/>
      <c r="X144" s="17"/>
      <c r="Y144" s="17"/>
      <c r="Z144" s="17"/>
      <c r="AA144" s="43"/>
      <c r="AB144" s="43"/>
      <c r="AC144" s="43"/>
      <c r="AD144" s="43"/>
      <c r="AE144" s="43"/>
      <c r="AF144" s="43"/>
      <c r="AG144" s="43"/>
      <c r="AH144" s="43"/>
      <c r="AI144" s="43"/>
      <c r="AJ144" s="43"/>
      <c r="AK144" s="43"/>
      <c r="AL144" s="43"/>
      <c r="AM144" s="43"/>
      <c r="AN144" s="43"/>
      <c r="AO144" s="43"/>
      <c r="AP144" s="43"/>
      <c r="AQ144" s="43"/>
      <c r="AR144" s="43"/>
    </row>
    <row r="145" spans="1:44" x14ac:dyDescent="0.2">
      <c r="A145" s="23"/>
      <c r="B145" s="23"/>
      <c r="C145" s="23"/>
      <c r="D145" s="23"/>
      <c r="E145" s="23"/>
      <c r="F145" s="23"/>
      <c r="G145" s="23"/>
      <c r="H145" s="23"/>
      <c r="I145" s="65"/>
      <c r="J145" s="22"/>
      <c r="K145" s="17"/>
      <c r="L145" s="17"/>
      <c r="M145" s="17"/>
      <c r="N145" s="17"/>
      <c r="O145" s="17"/>
      <c r="P145" s="17"/>
      <c r="Q145" s="17"/>
      <c r="R145" s="17"/>
      <c r="S145" s="17"/>
      <c r="T145" s="17"/>
      <c r="U145" s="17"/>
      <c r="V145" s="17"/>
      <c r="W145" s="17"/>
      <c r="X145" s="17"/>
      <c r="Y145" s="17"/>
      <c r="Z145" s="17"/>
      <c r="AA145" s="43"/>
      <c r="AB145" s="43"/>
      <c r="AC145" s="43"/>
      <c r="AD145" s="43"/>
      <c r="AE145" s="43"/>
      <c r="AF145" s="43"/>
      <c r="AG145" s="43"/>
      <c r="AH145" s="43"/>
      <c r="AI145" s="43"/>
      <c r="AJ145" s="43"/>
      <c r="AK145" s="43"/>
      <c r="AL145" s="43"/>
      <c r="AM145" s="43"/>
      <c r="AN145" s="43"/>
      <c r="AO145" s="43"/>
      <c r="AP145" s="43"/>
      <c r="AQ145" s="43"/>
      <c r="AR145" s="43"/>
    </row>
    <row r="146" spans="1:44" x14ac:dyDescent="0.2">
      <c r="A146" s="23"/>
      <c r="B146" s="23"/>
      <c r="C146" s="23"/>
      <c r="D146" s="23"/>
      <c r="E146" s="23"/>
      <c r="F146" s="23"/>
      <c r="G146" s="23"/>
      <c r="H146" s="23"/>
      <c r="I146" s="65"/>
      <c r="J146" s="22"/>
      <c r="K146" s="17"/>
      <c r="L146" s="17"/>
      <c r="M146" s="17"/>
      <c r="N146" s="17"/>
      <c r="O146" s="17"/>
      <c r="P146" s="17"/>
      <c r="Q146" s="17"/>
      <c r="R146" s="17"/>
      <c r="S146" s="17"/>
      <c r="T146" s="17"/>
      <c r="U146" s="17"/>
      <c r="V146" s="17"/>
      <c r="W146" s="17"/>
      <c r="X146" s="17"/>
      <c r="Y146" s="17"/>
      <c r="Z146" s="17"/>
      <c r="AA146" s="43"/>
      <c r="AB146" s="43"/>
      <c r="AC146" s="43"/>
      <c r="AD146" s="43"/>
      <c r="AE146" s="43"/>
      <c r="AF146" s="43"/>
      <c r="AG146" s="43"/>
      <c r="AH146" s="43"/>
      <c r="AI146" s="43"/>
      <c r="AJ146" s="43"/>
      <c r="AK146" s="43"/>
      <c r="AL146" s="43"/>
      <c r="AM146" s="43"/>
      <c r="AN146" s="43"/>
      <c r="AO146" s="43"/>
      <c r="AP146" s="43"/>
      <c r="AQ146" s="43"/>
      <c r="AR146" s="43"/>
    </row>
    <row r="147" spans="1:44" x14ac:dyDescent="0.2">
      <c r="A147" s="23"/>
      <c r="B147" s="23"/>
      <c r="C147" s="23"/>
      <c r="D147" s="23"/>
      <c r="E147" s="23"/>
      <c r="F147" s="23"/>
      <c r="G147" s="23"/>
      <c r="H147" s="23"/>
      <c r="I147" s="65"/>
      <c r="J147" s="22"/>
      <c r="K147" s="17"/>
      <c r="L147" s="17"/>
      <c r="M147" s="17"/>
      <c r="N147" s="17"/>
      <c r="O147" s="17"/>
      <c r="P147" s="17"/>
      <c r="Q147" s="17"/>
      <c r="R147" s="17"/>
      <c r="S147" s="17"/>
      <c r="T147" s="17"/>
      <c r="U147" s="17"/>
      <c r="V147" s="17"/>
      <c r="W147" s="17"/>
      <c r="X147" s="17"/>
      <c r="Y147" s="17"/>
      <c r="Z147" s="17"/>
      <c r="AA147" s="43"/>
      <c r="AB147" s="43"/>
      <c r="AC147" s="43"/>
      <c r="AD147" s="43"/>
      <c r="AE147" s="43"/>
      <c r="AF147" s="43"/>
      <c r="AG147" s="43"/>
      <c r="AH147" s="43"/>
      <c r="AI147" s="43"/>
      <c r="AJ147" s="43"/>
      <c r="AK147" s="43"/>
      <c r="AL147" s="43"/>
      <c r="AM147" s="43"/>
      <c r="AN147" s="43"/>
      <c r="AO147" s="43"/>
      <c r="AP147" s="43"/>
      <c r="AQ147" s="43"/>
      <c r="AR147" s="43"/>
    </row>
    <row r="148" spans="1:44" x14ac:dyDescent="0.2">
      <c r="A148" s="23"/>
      <c r="B148" s="23"/>
      <c r="C148" s="23"/>
      <c r="D148" s="23"/>
      <c r="E148" s="23"/>
      <c r="F148" s="23"/>
      <c r="G148" s="23"/>
      <c r="H148" s="23"/>
      <c r="I148" s="65"/>
      <c r="J148" s="22"/>
      <c r="K148" s="17"/>
      <c r="L148" s="17"/>
      <c r="M148" s="17"/>
      <c r="N148" s="17"/>
      <c r="O148" s="17"/>
      <c r="P148" s="17"/>
      <c r="Q148" s="17"/>
      <c r="R148" s="17"/>
      <c r="S148" s="17"/>
      <c r="T148" s="17"/>
      <c r="U148" s="17"/>
      <c r="V148" s="17"/>
      <c r="W148" s="17"/>
      <c r="X148" s="17"/>
      <c r="Y148" s="17"/>
      <c r="Z148" s="17"/>
      <c r="AA148" s="43"/>
      <c r="AB148" s="43"/>
      <c r="AC148" s="43"/>
      <c r="AD148" s="43"/>
      <c r="AE148" s="43"/>
      <c r="AF148" s="43"/>
      <c r="AG148" s="43"/>
      <c r="AH148" s="43"/>
      <c r="AI148" s="43"/>
      <c r="AJ148" s="43"/>
      <c r="AK148" s="43"/>
      <c r="AL148" s="43"/>
      <c r="AM148" s="43"/>
      <c r="AN148" s="43"/>
      <c r="AO148" s="43"/>
      <c r="AP148" s="43"/>
      <c r="AQ148" s="43"/>
      <c r="AR148" s="43"/>
    </row>
    <row r="149" spans="1:44" x14ac:dyDescent="0.2">
      <c r="A149" s="23"/>
      <c r="B149" s="23"/>
      <c r="C149" s="23"/>
      <c r="D149" s="23"/>
      <c r="E149" s="23"/>
      <c r="F149" s="23"/>
      <c r="G149" s="23"/>
      <c r="H149" s="23"/>
      <c r="I149" s="65"/>
      <c r="J149" s="22"/>
      <c r="K149" s="17"/>
      <c r="L149" s="17"/>
      <c r="M149" s="17"/>
      <c r="N149" s="17"/>
      <c r="O149" s="17"/>
      <c r="P149" s="17"/>
      <c r="Q149" s="17"/>
      <c r="R149" s="17"/>
      <c r="S149" s="17"/>
      <c r="T149" s="17"/>
      <c r="U149" s="17"/>
      <c r="V149" s="17"/>
      <c r="W149" s="17"/>
      <c r="X149" s="17"/>
      <c r="Y149" s="17"/>
      <c r="Z149" s="17"/>
      <c r="AA149" s="43"/>
      <c r="AB149" s="43"/>
      <c r="AC149" s="43"/>
      <c r="AD149" s="43"/>
      <c r="AE149" s="43"/>
      <c r="AF149" s="43"/>
      <c r="AG149" s="43"/>
      <c r="AH149" s="43"/>
      <c r="AI149" s="43"/>
      <c r="AJ149" s="43"/>
      <c r="AK149" s="43"/>
      <c r="AL149" s="43"/>
      <c r="AM149" s="43"/>
      <c r="AN149" s="43"/>
      <c r="AO149" s="43"/>
      <c r="AP149" s="43"/>
      <c r="AQ149" s="43"/>
      <c r="AR149" s="43"/>
    </row>
    <row r="150" spans="1:44" x14ac:dyDescent="0.2">
      <c r="A150" s="23"/>
      <c r="B150" s="23"/>
      <c r="C150" s="23"/>
      <c r="D150" s="23"/>
      <c r="E150" s="23"/>
      <c r="F150" s="23"/>
      <c r="G150" s="23"/>
      <c r="H150" s="23"/>
      <c r="I150" s="65"/>
      <c r="J150" s="22"/>
      <c r="K150" s="17"/>
      <c r="L150" s="17"/>
      <c r="M150" s="17"/>
      <c r="N150" s="17"/>
      <c r="O150" s="17"/>
      <c r="P150" s="17"/>
      <c r="Q150" s="17"/>
      <c r="R150" s="17"/>
      <c r="S150" s="17"/>
      <c r="T150" s="17"/>
      <c r="U150" s="17"/>
      <c r="V150" s="17"/>
      <c r="W150" s="17"/>
      <c r="X150" s="17"/>
      <c r="Y150" s="17"/>
      <c r="Z150" s="17"/>
      <c r="AA150" s="43"/>
      <c r="AB150" s="43"/>
      <c r="AC150" s="43"/>
      <c r="AD150" s="43"/>
      <c r="AE150" s="43"/>
      <c r="AF150" s="43"/>
      <c r="AG150" s="43"/>
      <c r="AH150" s="43"/>
      <c r="AI150" s="43"/>
      <c r="AJ150" s="43"/>
      <c r="AK150" s="43"/>
      <c r="AL150" s="43"/>
      <c r="AM150" s="43"/>
      <c r="AN150" s="43"/>
      <c r="AO150" s="43"/>
      <c r="AP150" s="43"/>
      <c r="AQ150" s="43"/>
      <c r="AR150" s="43"/>
    </row>
    <row r="151" spans="1:44" x14ac:dyDescent="0.2">
      <c r="A151" s="23"/>
      <c r="B151" s="23"/>
      <c r="C151" s="23"/>
      <c r="D151" s="23"/>
      <c r="E151" s="23"/>
      <c r="F151" s="23"/>
      <c r="G151" s="23"/>
      <c r="H151" s="23"/>
      <c r="I151" s="65"/>
      <c r="J151" s="22"/>
      <c r="K151" s="17"/>
      <c r="L151" s="17"/>
      <c r="M151" s="17"/>
      <c r="N151" s="17"/>
      <c r="O151" s="17"/>
      <c r="P151" s="17"/>
      <c r="Q151" s="17"/>
      <c r="R151" s="17"/>
      <c r="S151" s="17"/>
      <c r="T151" s="17"/>
      <c r="U151" s="17"/>
      <c r="V151" s="17"/>
      <c r="W151" s="17"/>
      <c r="X151" s="17"/>
      <c r="Y151" s="17"/>
      <c r="Z151" s="17"/>
      <c r="AA151" s="43"/>
      <c r="AB151" s="43"/>
      <c r="AC151" s="43"/>
      <c r="AD151" s="43"/>
      <c r="AE151" s="43"/>
      <c r="AF151" s="43"/>
      <c r="AG151" s="43"/>
      <c r="AH151" s="43"/>
      <c r="AI151" s="43"/>
      <c r="AJ151" s="43"/>
      <c r="AK151" s="43"/>
      <c r="AL151" s="43"/>
      <c r="AM151" s="43"/>
      <c r="AN151" s="43"/>
      <c r="AO151" s="43"/>
      <c r="AP151" s="43"/>
      <c r="AQ151" s="43"/>
      <c r="AR151" s="43"/>
    </row>
    <row r="152" spans="1:44" x14ac:dyDescent="0.2">
      <c r="A152" s="23"/>
      <c r="B152" s="23"/>
      <c r="C152" s="23"/>
      <c r="D152" s="23"/>
      <c r="E152" s="23"/>
      <c r="F152" s="23"/>
      <c r="G152" s="23"/>
      <c r="H152" s="23"/>
      <c r="I152" s="65"/>
      <c r="J152" s="22"/>
      <c r="K152" s="17"/>
      <c r="L152" s="17"/>
      <c r="M152" s="17"/>
      <c r="N152" s="17"/>
      <c r="O152" s="17"/>
      <c r="P152" s="17"/>
      <c r="Q152" s="17"/>
      <c r="R152" s="17"/>
      <c r="S152" s="17"/>
      <c r="T152" s="17"/>
      <c r="U152" s="17"/>
      <c r="V152" s="17"/>
      <c r="W152" s="17"/>
      <c r="X152" s="17"/>
      <c r="Y152" s="17"/>
      <c r="Z152" s="17"/>
      <c r="AA152" s="43"/>
      <c r="AB152" s="43"/>
      <c r="AC152" s="43"/>
      <c r="AD152" s="43"/>
      <c r="AE152" s="43"/>
      <c r="AF152" s="43"/>
      <c r="AG152" s="43"/>
      <c r="AH152" s="43"/>
      <c r="AI152" s="43"/>
      <c r="AJ152" s="43"/>
      <c r="AK152" s="43"/>
      <c r="AL152" s="43"/>
      <c r="AM152" s="43"/>
      <c r="AN152" s="43"/>
      <c r="AO152" s="43"/>
      <c r="AP152" s="43"/>
      <c r="AQ152" s="43"/>
      <c r="AR152" s="43"/>
    </row>
    <row r="153" spans="1:44" x14ac:dyDescent="0.2">
      <c r="A153" s="23"/>
      <c r="B153" s="23"/>
      <c r="C153" s="23"/>
      <c r="D153" s="23"/>
      <c r="E153" s="23"/>
      <c r="F153" s="23"/>
      <c r="G153" s="23"/>
      <c r="H153" s="23"/>
      <c r="I153" s="65"/>
      <c r="J153" s="22"/>
      <c r="K153" s="17"/>
      <c r="L153" s="17"/>
      <c r="M153" s="17"/>
      <c r="N153" s="17"/>
      <c r="O153" s="17"/>
      <c r="P153" s="17"/>
      <c r="Q153" s="17"/>
      <c r="R153" s="17"/>
      <c r="S153" s="17"/>
      <c r="T153" s="17"/>
      <c r="U153" s="17"/>
      <c r="V153" s="17"/>
      <c r="W153" s="17"/>
      <c r="X153" s="17"/>
      <c r="Y153" s="17"/>
      <c r="Z153" s="17"/>
      <c r="AA153" s="43"/>
      <c r="AB153" s="43"/>
      <c r="AC153" s="43"/>
      <c r="AD153" s="43"/>
      <c r="AE153" s="43"/>
      <c r="AF153" s="43"/>
      <c r="AG153" s="43"/>
      <c r="AH153" s="43"/>
      <c r="AI153" s="43"/>
      <c r="AJ153" s="43"/>
      <c r="AK153" s="43"/>
      <c r="AL153" s="43"/>
      <c r="AM153" s="43"/>
      <c r="AN153" s="43"/>
      <c r="AO153" s="43"/>
      <c r="AP153" s="43"/>
      <c r="AQ153" s="43"/>
      <c r="AR153" s="43"/>
    </row>
    <row r="154" spans="1:44" x14ac:dyDescent="0.2">
      <c r="A154" s="23"/>
      <c r="B154" s="23"/>
      <c r="C154" s="23"/>
      <c r="D154" s="23"/>
      <c r="E154" s="23"/>
      <c r="F154" s="23"/>
      <c r="G154" s="23"/>
      <c r="H154" s="23"/>
      <c r="I154" s="65"/>
      <c r="J154" s="22"/>
      <c r="K154" s="17"/>
      <c r="L154" s="17"/>
      <c r="M154" s="17"/>
      <c r="N154" s="17"/>
      <c r="O154" s="17"/>
      <c r="P154" s="17"/>
      <c r="Q154" s="17"/>
      <c r="R154" s="17"/>
      <c r="S154" s="17"/>
      <c r="T154" s="17"/>
      <c r="U154" s="17"/>
      <c r="V154" s="17"/>
      <c r="W154" s="17"/>
      <c r="X154" s="17"/>
      <c r="Y154" s="17"/>
      <c r="Z154" s="17"/>
      <c r="AA154" s="43"/>
      <c r="AB154" s="43"/>
      <c r="AC154" s="43"/>
      <c r="AD154" s="43"/>
      <c r="AE154" s="43"/>
      <c r="AF154" s="43"/>
      <c r="AG154" s="43"/>
      <c r="AH154" s="43"/>
      <c r="AI154" s="43"/>
      <c r="AJ154" s="43"/>
      <c r="AK154" s="43"/>
      <c r="AL154" s="43"/>
      <c r="AM154" s="43"/>
      <c r="AN154" s="43"/>
      <c r="AO154" s="43"/>
      <c r="AP154" s="43"/>
      <c r="AQ154" s="43"/>
      <c r="AR154" s="43"/>
    </row>
    <row r="155" spans="1:44" x14ac:dyDescent="0.2">
      <c r="A155" s="23"/>
      <c r="B155" s="23"/>
      <c r="C155" s="23"/>
      <c r="D155" s="23"/>
      <c r="E155" s="23"/>
      <c r="F155" s="23"/>
      <c r="G155" s="23"/>
      <c r="H155" s="23"/>
      <c r="I155" s="65"/>
      <c r="J155" s="22"/>
      <c r="K155" s="17"/>
      <c r="L155" s="17"/>
      <c r="M155" s="17"/>
      <c r="N155" s="17"/>
      <c r="O155" s="17"/>
      <c r="P155" s="17"/>
      <c r="Q155" s="17"/>
      <c r="R155" s="17"/>
      <c r="S155" s="17"/>
      <c r="T155" s="17"/>
      <c r="U155" s="17"/>
      <c r="V155" s="17"/>
      <c r="W155" s="17"/>
      <c r="X155" s="17"/>
      <c r="Y155" s="17"/>
      <c r="Z155" s="17"/>
      <c r="AA155" s="43"/>
      <c r="AB155" s="43"/>
      <c r="AC155" s="43"/>
      <c r="AD155" s="43"/>
      <c r="AE155" s="43"/>
      <c r="AF155" s="43"/>
      <c r="AG155" s="43"/>
      <c r="AH155" s="43"/>
      <c r="AI155" s="43"/>
      <c r="AJ155" s="43"/>
      <c r="AK155" s="43"/>
      <c r="AL155" s="43"/>
      <c r="AM155" s="43"/>
      <c r="AN155" s="43"/>
      <c r="AO155" s="43"/>
      <c r="AP155" s="43"/>
      <c r="AQ155" s="43"/>
      <c r="AR155" s="43"/>
    </row>
    <row r="156" spans="1:44" x14ac:dyDescent="0.2">
      <c r="A156" s="23"/>
      <c r="B156" s="23"/>
      <c r="C156" s="23"/>
      <c r="D156" s="23"/>
      <c r="E156" s="23"/>
      <c r="F156" s="23"/>
      <c r="G156" s="23"/>
      <c r="H156" s="23"/>
      <c r="I156" s="65"/>
      <c r="J156" s="22"/>
      <c r="K156" s="17"/>
      <c r="L156" s="17"/>
      <c r="M156" s="17"/>
      <c r="N156" s="17"/>
      <c r="O156" s="17"/>
      <c r="P156" s="17"/>
      <c r="Q156" s="17"/>
      <c r="R156" s="17"/>
      <c r="S156" s="17"/>
      <c r="T156" s="17"/>
      <c r="U156" s="17"/>
      <c r="V156" s="17"/>
      <c r="W156" s="17"/>
      <c r="X156" s="17"/>
      <c r="Y156" s="17"/>
      <c r="Z156" s="17"/>
      <c r="AA156" s="43"/>
      <c r="AB156" s="43"/>
      <c r="AC156" s="43"/>
      <c r="AD156" s="43"/>
      <c r="AE156" s="43"/>
      <c r="AF156" s="43"/>
      <c r="AG156" s="43"/>
      <c r="AH156" s="43"/>
      <c r="AI156" s="43"/>
      <c r="AJ156" s="43"/>
      <c r="AK156" s="43"/>
      <c r="AL156" s="43"/>
      <c r="AM156" s="43"/>
      <c r="AN156" s="43"/>
      <c r="AO156" s="43"/>
      <c r="AP156" s="43"/>
      <c r="AQ156" s="43"/>
      <c r="AR156" s="43"/>
    </row>
    <row r="157" spans="1:44" x14ac:dyDescent="0.2">
      <c r="A157" s="23"/>
      <c r="B157" s="23"/>
      <c r="C157" s="23"/>
      <c r="D157" s="23"/>
      <c r="E157" s="23"/>
      <c r="F157" s="23"/>
      <c r="G157" s="23"/>
      <c r="H157" s="23"/>
      <c r="I157" s="65"/>
      <c r="J157" s="22"/>
      <c r="K157" s="17"/>
      <c r="L157" s="17"/>
      <c r="M157" s="17"/>
      <c r="N157" s="17"/>
      <c r="O157" s="17"/>
      <c r="P157" s="17"/>
      <c r="Q157" s="17"/>
      <c r="R157" s="17"/>
      <c r="S157" s="17"/>
      <c r="T157" s="17"/>
      <c r="U157" s="17"/>
      <c r="V157" s="17"/>
      <c r="W157" s="17"/>
      <c r="X157" s="17"/>
      <c r="Y157" s="17"/>
      <c r="Z157" s="17"/>
      <c r="AA157" s="43"/>
      <c r="AB157" s="43"/>
      <c r="AC157" s="43"/>
      <c r="AD157" s="43"/>
      <c r="AE157" s="43"/>
      <c r="AF157" s="43"/>
      <c r="AG157" s="43"/>
      <c r="AH157" s="43"/>
      <c r="AI157" s="43"/>
      <c r="AJ157" s="43"/>
      <c r="AK157" s="43"/>
      <c r="AL157" s="43"/>
      <c r="AM157" s="43"/>
      <c r="AN157" s="43"/>
      <c r="AO157" s="43"/>
      <c r="AP157" s="43"/>
      <c r="AQ157" s="43"/>
      <c r="AR157" s="43"/>
    </row>
    <row r="158" spans="1:44" x14ac:dyDescent="0.2">
      <c r="A158" s="23"/>
      <c r="B158" s="23"/>
      <c r="C158" s="23"/>
      <c r="D158" s="23"/>
      <c r="E158" s="23"/>
      <c r="F158" s="23"/>
      <c r="G158" s="23"/>
      <c r="H158" s="23"/>
      <c r="I158" s="65"/>
      <c r="J158" s="22"/>
      <c r="K158" s="17"/>
      <c r="L158" s="17"/>
      <c r="M158" s="17"/>
      <c r="N158" s="17"/>
      <c r="O158" s="17"/>
      <c r="P158" s="17"/>
      <c r="Q158" s="17"/>
      <c r="R158" s="17"/>
      <c r="S158" s="17"/>
      <c r="T158" s="17"/>
      <c r="U158" s="17"/>
      <c r="V158" s="17"/>
      <c r="W158" s="17"/>
      <c r="X158" s="17"/>
      <c r="Y158" s="17"/>
      <c r="Z158" s="17"/>
      <c r="AA158" s="43"/>
      <c r="AB158" s="43"/>
      <c r="AC158" s="43"/>
      <c r="AD158" s="43"/>
      <c r="AE158" s="43"/>
      <c r="AF158" s="43"/>
      <c r="AG158" s="43"/>
      <c r="AH158" s="43"/>
      <c r="AI158" s="43"/>
      <c r="AJ158" s="43"/>
      <c r="AK158" s="43"/>
      <c r="AL158" s="43"/>
      <c r="AM158" s="43"/>
      <c r="AN158" s="43"/>
      <c r="AO158" s="43"/>
      <c r="AP158" s="43"/>
      <c r="AQ158" s="43"/>
      <c r="AR158" s="43"/>
    </row>
    <row r="159" spans="1:44" x14ac:dyDescent="0.2">
      <c r="A159" s="23"/>
      <c r="B159" s="23"/>
      <c r="C159" s="23"/>
      <c r="D159" s="23"/>
      <c r="E159" s="23"/>
      <c r="F159" s="23"/>
      <c r="G159" s="23"/>
      <c r="H159" s="23"/>
      <c r="I159" s="65"/>
      <c r="J159" s="22"/>
      <c r="K159" s="17"/>
      <c r="L159" s="17"/>
      <c r="M159" s="17"/>
      <c r="N159" s="17"/>
      <c r="O159" s="17"/>
      <c r="P159" s="17"/>
      <c r="Q159" s="17"/>
      <c r="R159" s="17"/>
      <c r="S159" s="17"/>
      <c r="T159" s="17"/>
      <c r="U159" s="17"/>
      <c r="V159" s="17"/>
      <c r="W159" s="17"/>
      <c r="X159" s="17"/>
      <c r="Y159" s="17"/>
      <c r="Z159" s="17"/>
      <c r="AA159" s="43"/>
      <c r="AB159" s="43"/>
      <c r="AC159" s="43"/>
      <c r="AD159" s="43"/>
      <c r="AE159" s="43"/>
      <c r="AF159" s="43"/>
      <c r="AG159" s="43"/>
      <c r="AH159" s="43"/>
      <c r="AI159" s="43"/>
      <c r="AJ159" s="43"/>
      <c r="AK159" s="43"/>
      <c r="AL159" s="43"/>
      <c r="AM159" s="43"/>
      <c r="AN159" s="43"/>
      <c r="AO159" s="43"/>
      <c r="AP159" s="43"/>
      <c r="AQ159" s="43"/>
      <c r="AR159" s="43"/>
    </row>
    <row r="160" spans="1:44" x14ac:dyDescent="0.2">
      <c r="A160" s="23"/>
      <c r="B160" s="23"/>
      <c r="C160" s="23"/>
      <c r="D160" s="23"/>
      <c r="E160" s="23"/>
      <c r="F160" s="23"/>
      <c r="G160" s="23"/>
      <c r="H160" s="23"/>
      <c r="I160" s="65"/>
      <c r="J160" s="22"/>
      <c r="K160" s="17"/>
      <c r="L160" s="17"/>
      <c r="M160" s="17"/>
      <c r="N160" s="17"/>
      <c r="O160" s="17"/>
      <c r="P160" s="17"/>
      <c r="Q160" s="17"/>
      <c r="R160" s="17"/>
      <c r="S160" s="17"/>
      <c r="T160" s="17"/>
      <c r="U160" s="17"/>
      <c r="V160" s="17"/>
      <c r="W160" s="17"/>
      <c r="X160" s="17"/>
      <c r="Y160" s="17"/>
      <c r="Z160" s="17"/>
      <c r="AA160" s="43"/>
      <c r="AB160" s="43"/>
      <c r="AC160" s="43"/>
      <c r="AD160" s="43"/>
      <c r="AE160" s="43"/>
      <c r="AF160" s="43"/>
      <c r="AG160" s="43"/>
      <c r="AH160" s="43"/>
      <c r="AI160" s="43"/>
      <c r="AJ160" s="43"/>
      <c r="AK160" s="43"/>
      <c r="AL160" s="43"/>
      <c r="AM160" s="43"/>
      <c r="AN160" s="43"/>
      <c r="AO160" s="43"/>
      <c r="AP160" s="43"/>
      <c r="AQ160" s="43"/>
      <c r="AR160" s="43"/>
    </row>
    <row r="161" spans="1:44" x14ac:dyDescent="0.2">
      <c r="A161" s="23"/>
      <c r="B161" s="23"/>
      <c r="C161" s="23"/>
      <c r="D161" s="23"/>
      <c r="E161" s="23"/>
      <c r="F161" s="23"/>
      <c r="G161" s="23"/>
      <c r="H161" s="23"/>
      <c r="I161" s="65"/>
      <c r="J161" s="22"/>
      <c r="K161" s="17"/>
      <c r="L161" s="17"/>
      <c r="M161" s="17"/>
      <c r="N161" s="17"/>
      <c r="O161" s="17"/>
      <c r="P161" s="17"/>
      <c r="Q161" s="17"/>
      <c r="R161" s="17"/>
      <c r="S161" s="17"/>
      <c r="T161" s="17"/>
      <c r="U161" s="17"/>
      <c r="V161" s="17"/>
      <c r="W161" s="17"/>
      <c r="X161" s="17"/>
      <c r="Y161" s="17"/>
      <c r="Z161" s="17"/>
      <c r="AA161" s="43"/>
      <c r="AB161" s="43"/>
      <c r="AC161" s="43"/>
      <c r="AD161" s="43"/>
      <c r="AE161" s="43"/>
      <c r="AF161" s="43"/>
      <c r="AG161" s="43"/>
      <c r="AH161" s="43"/>
      <c r="AI161" s="43"/>
      <c r="AJ161" s="43"/>
      <c r="AK161" s="43"/>
      <c r="AL161" s="43"/>
      <c r="AM161" s="43"/>
      <c r="AN161" s="43"/>
      <c r="AO161" s="43"/>
      <c r="AP161" s="43"/>
      <c r="AQ161" s="43"/>
      <c r="AR161" s="43"/>
    </row>
    <row r="162" spans="1:44" x14ac:dyDescent="0.2">
      <c r="A162" s="23"/>
      <c r="B162" s="23"/>
      <c r="C162" s="23"/>
      <c r="D162" s="23"/>
      <c r="E162" s="23"/>
      <c r="F162" s="23"/>
      <c r="G162" s="23"/>
      <c r="H162" s="23"/>
      <c r="I162" s="65"/>
      <c r="J162" s="22"/>
      <c r="K162" s="17"/>
      <c r="L162" s="17"/>
      <c r="M162" s="17"/>
      <c r="N162" s="17"/>
      <c r="O162" s="17"/>
      <c r="P162" s="17"/>
      <c r="Q162" s="17"/>
      <c r="R162" s="17"/>
      <c r="S162" s="17"/>
      <c r="T162" s="17"/>
      <c r="U162" s="17"/>
      <c r="V162" s="17"/>
      <c r="W162" s="17"/>
      <c r="X162" s="17"/>
      <c r="Y162" s="17"/>
      <c r="Z162" s="17"/>
      <c r="AA162" s="43"/>
      <c r="AB162" s="43"/>
      <c r="AC162" s="43"/>
      <c r="AD162" s="43"/>
      <c r="AE162" s="43"/>
      <c r="AF162" s="43"/>
      <c r="AG162" s="43"/>
      <c r="AH162" s="43"/>
      <c r="AI162" s="43"/>
      <c r="AJ162" s="43"/>
      <c r="AK162" s="43"/>
      <c r="AL162" s="43"/>
      <c r="AM162" s="43"/>
      <c r="AN162" s="43"/>
      <c r="AO162" s="43"/>
      <c r="AP162" s="43"/>
      <c r="AQ162" s="43"/>
      <c r="AR162" s="43"/>
    </row>
    <row r="163" spans="1:44" x14ac:dyDescent="0.2">
      <c r="A163" s="23"/>
      <c r="B163" s="23"/>
      <c r="C163" s="23"/>
      <c r="D163" s="23"/>
      <c r="E163" s="23"/>
      <c r="F163" s="23"/>
      <c r="G163" s="23"/>
      <c r="H163" s="23"/>
      <c r="I163" s="65"/>
      <c r="J163" s="22"/>
      <c r="K163" s="17"/>
      <c r="L163" s="17"/>
      <c r="M163" s="17"/>
      <c r="N163" s="17"/>
      <c r="O163" s="17"/>
      <c r="P163" s="17"/>
      <c r="Q163" s="17"/>
      <c r="R163" s="17"/>
      <c r="S163" s="17"/>
      <c r="T163" s="17"/>
      <c r="U163" s="17"/>
      <c r="V163" s="17"/>
      <c r="W163" s="17"/>
      <c r="X163" s="17"/>
      <c r="Y163" s="17"/>
      <c r="Z163" s="17"/>
      <c r="AA163" s="43"/>
      <c r="AB163" s="43"/>
      <c r="AC163" s="43"/>
      <c r="AD163" s="43"/>
      <c r="AE163" s="43"/>
      <c r="AF163" s="43"/>
      <c r="AG163" s="43"/>
      <c r="AH163" s="43"/>
      <c r="AI163" s="43"/>
      <c r="AJ163" s="43"/>
      <c r="AK163" s="43"/>
      <c r="AL163" s="43"/>
      <c r="AM163" s="43"/>
      <c r="AN163" s="43"/>
      <c r="AO163" s="43"/>
      <c r="AP163" s="43"/>
      <c r="AQ163" s="43"/>
      <c r="AR163" s="43"/>
    </row>
    <row r="164" spans="1:44" x14ac:dyDescent="0.2">
      <c r="A164" s="23"/>
      <c r="B164" s="23"/>
      <c r="C164" s="23"/>
      <c r="D164" s="23"/>
      <c r="E164" s="23"/>
      <c r="F164" s="23"/>
      <c r="G164" s="23"/>
      <c r="H164" s="23"/>
      <c r="I164" s="65"/>
      <c r="J164" s="22"/>
      <c r="K164" s="17"/>
      <c r="L164" s="17"/>
      <c r="M164" s="17"/>
      <c r="N164" s="17"/>
      <c r="O164" s="17"/>
      <c r="P164" s="17"/>
      <c r="Q164" s="17"/>
      <c r="R164" s="17"/>
      <c r="S164" s="17"/>
      <c r="T164" s="17"/>
      <c r="U164" s="17"/>
      <c r="V164" s="17"/>
      <c r="W164" s="17"/>
      <c r="X164" s="17"/>
      <c r="Y164" s="17"/>
      <c r="Z164" s="17"/>
      <c r="AA164" s="43"/>
      <c r="AB164" s="43"/>
      <c r="AC164" s="43"/>
      <c r="AD164" s="43"/>
      <c r="AE164" s="43"/>
      <c r="AF164" s="43"/>
      <c r="AG164" s="43"/>
      <c r="AH164" s="43"/>
      <c r="AI164" s="43"/>
      <c r="AJ164" s="43"/>
      <c r="AK164" s="43"/>
      <c r="AL164" s="43"/>
      <c r="AM164" s="43"/>
      <c r="AN164" s="43"/>
      <c r="AO164" s="43"/>
      <c r="AP164" s="43"/>
      <c r="AQ164" s="43"/>
      <c r="AR164" s="43"/>
    </row>
    <row r="165" spans="1:44" x14ac:dyDescent="0.2">
      <c r="A165" s="23"/>
      <c r="B165" s="23"/>
      <c r="C165" s="23"/>
      <c r="D165" s="23"/>
      <c r="E165" s="23"/>
      <c r="F165" s="23"/>
      <c r="G165" s="23"/>
      <c r="H165" s="23"/>
      <c r="I165" s="65"/>
      <c r="J165" s="22"/>
      <c r="K165" s="17"/>
      <c r="L165" s="17"/>
      <c r="M165" s="17"/>
      <c r="N165" s="17"/>
      <c r="O165" s="17"/>
      <c r="P165" s="17"/>
      <c r="Q165" s="17"/>
      <c r="R165" s="17"/>
      <c r="S165" s="17"/>
      <c r="T165" s="17"/>
      <c r="U165" s="17"/>
      <c r="V165" s="17"/>
      <c r="W165" s="17"/>
      <c r="X165" s="17"/>
      <c r="Y165" s="17"/>
      <c r="Z165" s="17"/>
      <c r="AA165" s="43"/>
      <c r="AB165" s="43"/>
      <c r="AC165" s="43"/>
      <c r="AD165" s="43"/>
      <c r="AE165" s="43"/>
      <c r="AF165" s="43"/>
      <c r="AG165" s="43"/>
      <c r="AH165" s="43"/>
      <c r="AI165" s="43"/>
      <c r="AJ165" s="43"/>
      <c r="AK165" s="43"/>
      <c r="AL165" s="43"/>
      <c r="AM165" s="43"/>
      <c r="AN165" s="43"/>
      <c r="AO165" s="43"/>
      <c r="AP165" s="43"/>
      <c r="AQ165" s="43"/>
      <c r="AR165" s="43"/>
    </row>
    <row r="166" spans="1:44" x14ac:dyDescent="0.2">
      <c r="A166" s="23"/>
      <c r="B166" s="23"/>
      <c r="C166" s="23"/>
      <c r="D166" s="23"/>
      <c r="E166" s="23"/>
      <c r="F166" s="23"/>
      <c r="G166" s="23"/>
      <c r="H166" s="23"/>
      <c r="I166" s="65"/>
      <c r="J166" s="22"/>
      <c r="K166" s="17"/>
      <c r="L166" s="17"/>
      <c r="M166" s="17"/>
      <c r="N166" s="17"/>
      <c r="O166" s="17"/>
      <c r="P166" s="17"/>
      <c r="Q166" s="17"/>
      <c r="R166" s="17"/>
      <c r="S166" s="17"/>
      <c r="T166" s="17"/>
      <c r="U166" s="17"/>
      <c r="V166" s="17"/>
      <c r="W166" s="17"/>
      <c r="X166" s="17"/>
      <c r="Y166" s="17"/>
      <c r="Z166" s="17"/>
      <c r="AA166" s="43"/>
      <c r="AB166" s="43"/>
      <c r="AC166" s="43"/>
      <c r="AD166" s="43"/>
      <c r="AE166" s="43"/>
      <c r="AF166" s="43"/>
      <c r="AG166" s="43"/>
      <c r="AH166" s="43"/>
      <c r="AI166" s="43"/>
      <c r="AJ166" s="43"/>
      <c r="AK166" s="43"/>
      <c r="AL166" s="43"/>
      <c r="AM166" s="43"/>
      <c r="AN166" s="43"/>
      <c r="AO166" s="43"/>
      <c r="AP166" s="43"/>
      <c r="AQ166" s="43"/>
      <c r="AR166" s="43"/>
    </row>
    <row r="167" spans="1:44" x14ac:dyDescent="0.2">
      <c r="A167" s="23"/>
      <c r="B167" s="23"/>
      <c r="C167" s="23"/>
      <c r="D167" s="23"/>
      <c r="E167" s="23"/>
      <c r="F167" s="23"/>
      <c r="G167" s="23"/>
      <c r="H167" s="23"/>
      <c r="I167" s="65"/>
      <c r="J167" s="22"/>
      <c r="K167" s="17"/>
      <c r="L167" s="17"/>
      <c r="M167" s="17"/>
      <c r="N167" s="17"/>
      <c r="O167" s="17"/>
      <c r="P167" s="17"/>
      <c r="Q167" s="17"/>
      <c r="R167" s="17"/>
      <c r="S167" s="17"/>
      <c r="T167" s="17"/>
      <c r="U167" s="17"/>
      <c r="V167" s="17"/>
      <c r="W167" s="17"/>
      <c r="X167" s="17"/>
      <c r="Y167" s="17"/>
      <c r="Z167" s="17"/>
      <c r="AA167" s="43"/>
      <c r="AB167" s="43"/>
      <c r="AC167" s="43"/>
      <c r="AD167" s="43"/>
      <c r="AE167" s="43"/>
      <c r="AF167" s="43"/>
      <c r="AG167" s="43"/>
      <c r="AH167" s="43"/>
      <c r="AI167" s="43"/>
      <c r="AJ167" s="43"/>
      <c r="AK167" s="43"/>
      <c r="AL167" s="43"/>
      <c r="AM167" s="43"/>
      <c r="AN167" s="43"/>
      <c r="AO167" s="43"/>
      <c r="AP167" s="43"/>
      <c r="AQ167" s="43"/>
      <c r="AR167" s="43"/>
    </row>
    <row r="168" spans="1:44" x14ac:dyDescent="0.2">
      <c r="A168" s="23"/>
      <c r="B168" s="23"/>
      <c r="C168" s="23"/>
      <c r="D168" s="23"/>
      <c r="E168" s="23"/>
      <c r="F168" s="23"/>
      <c r="G168" s="23"/>
      <c r="H168" s="23"/>
      <c r="I168" s="65"/>
      <c r="J168" s="22"/>
      <c r="K168" s="17"/>
      <c r="L168" s="17"/>
      <c r="M168" s="17"/>
      <c r="N168" s="17"/>
      <c r="O168" s="17"/>
      <c r="P168" s="17"/>
      <c r="Q168" s="17"/>
      <c r="R168" s="17"/>
      <c r="S168" s="17"/>
      <c r="T168" s="17"/>
      <c r="U168" s="17"/>
      <c r="V168" s="17"/>
      <c r="W168" s="17"/>
      <c r="X168" s="17"/>
      <c r="Y168" s="17"/>
      <c r="Z168" s="17"/>
    </row>
    <row r="169" spans="1:44" x14ac:dyDescent="0.2">
      <c r="A169" s="23"/>
      <c r="B169" s="23"/>
      <c r="C169" s="23"/>
      <c r="D169" s="23"/>
      <c r="E169" s="23"/>
      <c r="F169" s="23"/>
      <c r="G169" s="23"/>
      <c r="H169" s="23"/>
      <c r="I169" s="65"/>
      <c r="J169" s="22"/>
      <c r="K169" s="17"/>
      <c r="L169" s="17"/>
      <c r="M169" s="17"/>
      <c r="N169" s="17"/>
      <c r="O169" s="17"/>
      <c r="P169" s="17"/>
      <c r="Q169" s="17"/>
      <c r="R169" s="17"/>
      <c r="S169" s="17"/>
      <c r="T169" s="17"/>
      <c r="U169" s="17"/>
      <c r="V169" s="17"/>
      <c r="W169" s="17"/>
      <c r="X169" s="17"/>
      <c r="Y169" s="17"/>
      <c r="Z169" s="17"/>
    </row>
    <row r="170" spans="1:44" x14ac:dyDescent="0.2">
      <c r="A170" s="23"/>
      <c r="B170" s="23"/>
      <c r="C170" s="23"/>
      <c r="D170" s="23"/>
      <c r="E170" s="23"/>
      <c r="F170" s="23"/>
      <c r="G170" s="23"/>
      <c r="H170" s="23"/>
      <c r="I170" s="65"/>
      <c r="J170" s="22"/>
      <c r="K170" s="17"/>
      <c r="L170" s="17"/>
      <c r="M170" s="17"/>
      <c r="N170" s="17"/>
      <c r="O170" s="17"/>
      <c r="P170" s="17"/>
      <c r="Q170" s="17"/>
      <c r="R170" s="17"/>
      <c r="S170" s="17"/>
      <c r="T170" s="17"/>
      <c r="U170" s="17"/>
      <c r="V170" s="17"/>
      <c r="W170" s="17"/>
      <c r="X170" s="17"/>
      <c r="Y170" s="17"/>
      <c r="Z170" s="17"/>
    </row>
    <row r="171" spans="1:44" x14ac:dyDescent="0.2">
      <c r="A171" s="23"/>
      <c r="B171" s="23"/>
      <c r="C171" s="23"/>
      <c r="D171" s="23"/>
      <c r="E171" s="23"/>
      <c r="F171" s="23"/>
      <c r="G171" s="23"/>
      <c r="H171" s="23"/>
      <c r="I171" s="65"/>
      <c r="J171" s="22"/>
      <c r="K171" s="17"/>
      <c r="L171" s="17"/>
      <c r="M171" s="17"/>
      <c r="N171" s="17"/>
      <c r="O171" s="17"/>
      <c r="P171" s="17"/>
      <c r="Q171" s="17"/>
      <c r="R171" s="17"/>
      <c r="S171" s="17"/>
      <c r="T171" s="17"/>
      <c r="U171" s="17"/>
      <c r="V171" s="17"/>
      <c r="W171" s="17"/>
      <c r="X171" s="17"/>
      <c r="Y171" s="17"/>
      <c r="Z171" s="17"/>
    </row>
    <row r="172" spans="1:44" x14ac:dyDescent="0.2">
      <c r="A172" s="23"/>
      <c r="B172" s="23"/>
      <c r="C172" s="23"/>
      <c r="D172" s="23"/>
      <c r="E172" s="23"/>
      <c r="F172" s="23"/>
      <c r="G172" s="23"/>
      <c r="H172" s="23"/>
      <c r="I172" s="65"/>
      <c r="J172" s="22"/>
      <c r="K172" s="17"/>
      <c r="L172" s="17"/>
      <c r="M172" s="17"/>
      <c r="N172" s="17"/>
      <c r="O172" s="17"/>
      <c r="P172" s="17"/>
      <c r="Q172" s="17"/>
      <c r="R172" s="17"/>
      <c r="S172" s="17"/>
      <c r="T172" s="17"/>
      <c r="U172" s="17"/>
      <c r="V172" s="17"/>
      <c r="W172" s="17"/>
      <c r="X172" s="17"/>
      <c r="Y172" s="17"/>
      <c r="Z172" s="17"/>
    </row>
    <row r="173" spans="1:44" x14ac:dyDescent="0.2">
      <c r="A173" s="23"/>
      <c r="B173" s="23"/>
      <c r="C173" s="23"/>
      <c r="D173" s="23"/>
      <c r="E173" s="23"/>
      <c r="F173" s="23"/>
      <c r="G173" s="23"/>
      <c r="H173" s="23"/>
      <c r="I173" s="65"/>
      <c r="J173" s="22"/>
      <c r="K173" s="17"/>
      <c r="L173" s="17"/>
      <c r="M173" s="17"/>
      <c r="N173" s="17"/>
      <c r="O173" s="17"/>
      <c r="P173" s="17"/>
      <c r="Q173" s="17"/>
      <c r="R173" s="17"/>
      <c r="S173" s="17"/>
      <c r="T173" s="17"/>
      <c r="U173" s="17"/>
      <c r="V173" s="17"/>
      <c r="W173" s="17"/>
      <c r="X173" s="17"/>
      <c r="Y173" s="17"/>
      <c r="Z173" s="17"/>
    </row>
    <row r="174" spans="1:44" x14ac:dyDescent="0.2">
      <c r="A174" s="23"/>
      <c r="B174" s="23"/>
      <c r="C174" s="23"/>
      <c r="D174" s="23"/>
      <c r="E174" s="23"/>
      <c r="F174" s="23"/>
      <c r="G174" s="23"/>
      <c r="H174" s="23"/>
      <c r="I174" s="65"/>
      <c r="J174" s="22"/>
      <c r="K174" s="17"/>
      <c r="L174" s="17"/>
      <c r="M174" s="17"/>
      <c r="N174" s="17"/>
      <c r="O174" s="17"/>
      <c r="P174" s="17"/>
      <c r="Q174" s="17"/>
      <c r="R174" s="17"/>
      <c r="S174" s="17"/>
      <c r="T174" s="17"/>
      <c r="U174" s="17"/>
      <c r="V174" s="17"/>
      <c r="W174" s="17"/>
      <c r="X174" s="17"/>
      <c r="Y174" s="17"/>
      <c r="Z174" s="17"/>
    </row>
    <row r="175" spans="1:44" x14ac:dyDescent="0.2">
      <c r="A175" s="23"/>
      <c r="B175" s="23"/>
      <c r="C175" s="23"/>
      <c r="D175" s="23"/>
      <c r="E175" s="23"/>
      <c r="F175" s="23"/>
      <c r="G175" s="23"/>
      <c r="H175" s="23"/>
      <c r="I175" s="65"/>
      <c r="J175" s="22"/>
      <c r="K175" s="17"/>
      <c r="L175" s="17"/>
      <c r="M175" s="17"/>
      <c r="N175" s="17"/>
      <c r="O175" s="17"/>
      <c r="P175" s="17"/>
      <c r="Q175" s="17"/>
      <c r="R175" s="17"/>
      <c r="S175" s="17"/>
      <c r="T175" s="17"/>
      <c r="U175" s="17"/>
      <c r="V175" s="17"/>
      <c r="W175" s="17"/>
      <c r="X175" s="17"/>
      <c r="Y175" s="17"/>
      <c r="Z175" s="17"/>
    </row>
    <row r="176" spans="1:44" x14ac:dyDescent="0.2">
      <c r="A176" s="23"/>
      <c r="B176" s="23"/>
      <c r="C176" s="23"/>
      <c r="D176" s="23"/>
      <c r="E176" s="23"/>
      <c r="F176" s="23"/>
      <c r="G176" s="23"/>
      <c r="H176" s="23"/>
      <c r="I176" s="65"/>
      <c r="J176" s="22"/>
      <c r="K176" s="17"/>
      <c r="L176" s="17"/>
      <c r="M176" s="17"/>
      <c r="N176" s="17"/>
      <c r="O176" s="17"/>
      <c r="P176" s="17"/>
      <c r="Q176" s="17"/>
      <c r="R176" s="17"/>
      <c r="S176" s="17"/>
      <c r="T176" s="17"/>
      <c r="U176" s="17"/>
      <c r="V176" s="17"/>
      <c r="W176" s="17"/>
      <c r="X176" s="17"/>
      <c r="Y176" s="17"/>
      <c r="Z176" s="17"/>
    </row>
    <row r="177" spans="1:26" x14ac:dyDescent="0.2">
      <c r="A177" s="23"/>
      <c r="B177" s="23"/>
      <c r="C177" s="23"/>
      <c r="D177" s="23"/>
      <c r="E177" s="23"/>
      <c r="F177" s="23"/>
      <c r="G177" s="23"/>
      <c r="H177" s="23"/>
      <c r="I177" s="65"/>
      <c r="J177" s="22"/>
      <c r="K177" s="17"/>
      <c r="L177" s="17"/>
      <c r="M177" s="17"/>
      <c r="N177" s="17"/>
      <c r="O177" s="17"/>
      <c r="P177" s="17"/>
      <c r="Q177" s="17"/>
      <c r="R177" s="17"/>
      <c r="S177" s="17"/>
      <c r="T177" s="17"/>
      <c r="U177" s="17"/>
      <c r="V177" s="17"/>
      <c r="W177" s="17"/>
      <c r="X177" s="17"/>
      <c r="Y177" s="17"/>
      <c r="Z177" s="17"/>
    </row>
    <row r="178" spans="1:26" x14ac:dyDescent="0.2">
      <c r="A178" s="23"/>
      <c r="B178" s="23"/>
      <c r="C178" s="23"/>
      <c r="D178" s="23"/>
      <c r="E178" s="23"/>
      <c r="F178" s="23"/>
      <c r="G178" s="23"/>
      <c r="H178" s="23"/>
      <c r="I178" s="65"/>
      <c r="J178" s="22"/>
      <c r="K178" s="17"/>
      <c r="L178" s="17"/>
      <c r="M178" s="17"/>
      <c r="N178" s="17"/>
      <c r="O178" s="17"/>
      <c r="P178" s="17"/>
      <c r="Q178" s="17"/>
      <c r="R178" s="17"/>
      <c r="S178" s="17"/>
      <c r="T178" s="17"/>
      <c r="U178" s="17"/>
      <c r="V178" s="17"/>
      <c r="W178" s="17"/>
      <c r="X178" s="17"/>
      <c r="Y178" s="17"/>
      <c r="Z178" s="17"/>
    </row>
    <row r="179" spans="1:26" x14ac:dyDescent="0.2">
      <c r="A179" s="23"/>
      <c r="B179" s="23"/>
      <c r="C179" s="23"/>
      <c r="D179" s="23"/>
      <c r="E179" s="23"/>
      <c r="F179" s="23"/>
      <c r="G179" s="23"/>
      <c r="H179" s="23"/>
      <c r="I179" s="65"/>
      <c r="J179" s="22"/>
      <c r="K179" s="17"/>
      <c r="L179" s="17"/>
      <c r="M179" s="17"/>
      <c r="N179" s="17"/>
      <c r="O179" s="17"/>
      <c r="P179" s="17"/>
      <c r="Q179" s="17"/>
      <c r="R179" s="17"/>
      <c r="S179" s="17"/>
      <c r="T179" s="17"/>
      <c r="U179" s="17"/>
      <c r="V179" s="17"/>
      <c r="W179" s="17"/>
      <c r="X179" s="17"/>
      <c r="Y179" s="17"/>
      <c r="Z179" s="17"/>
    </row>
    <row r="180" spans="1:26" x14ac:dyDescent="0.2">
      <c r="A180" s="23"/>
      <c r="B180" s="23"/>
      <c r="C180" s="23"/>
      <c r="D180" s="23"/>
      <c r="E180" s="23"/>
      <c r="F180" s="23"/>
      <c r="G180" s="23"/>
      <c r="H180" s="23"/>
      <c r="I180" s="65"/>
      <c r="J180" s="22"/>
      <c r="K180" s="17"/>
      <c r="L180" s="17"/>
      <c r="M180" s="17"/>
      <c r="N180" s="17"/>
      <c r="O180" s="17"/>
      <c r="P180" s="17"/>
      <c r="Q180" s="17"/>
      <c r="R180" s="17"/>
      <c r="S180" s="17"/>
      <c r="T180" s="17"/>
      <c r="U180" s="17"/>
      <c r="V180" s="17"/>
      <c r="W180" s="17"/>
      <c r="X180" s="17"/>
      <c r="Y180" s="17"/>
      <c r="Z180" s="17"/>
    </row>
    <row r="181" spans="1:26" x14ac:dyDescent="0.2">
      <c r="A181" s="23"/>
      <c r="B181" s="23"/>
      <c r="C181" s="23"/>
      <c r="D181" s="23"/>
      <c r="E181" s="23"/>
      <c r="F181" s="23"/>
      <c r="G181" s="23"/>
      <c r="H181" s="23"/>
    </row>
    <row r="182" spans="1:26" x14ac:dyDescent="0.2">
      <c r="A182" s="23"/>
      <c r="B182" s="23"/>
      <c r="C182" s="23"/>
      <c r="D182" s="23"/>
      <c r="E182" s="23"/>
      <c r="F182" s="23"/>
      <c r="G182" s="23"/>
      <c r="H182" s="23"/>
    </row>
    <row r="183" spans="1:26" x14ac:dyDescent="0.2">
      <c r="A183" s="23"/>
      <c r="B183" s="23"/>
      <c r="C183" s="23"/>
      <c r="D183" s="23"/>
      <c r="E183" s="23"/>
      <c r="F183" s="23"/>
      <c r="G183" s="23"/>
      <c r="H183" s="23"/>
    </row>
  </sheetData>
  <sheetProtection password="EA99" sheet="1" objects="1" scenarios="1"/>
  <mergeCells count="11">
    <mergeCell ref="A1:H1"/>
    <mergeCell ref="A2:H2"/>
    <mergeCell ref="A20:C20"/>
    <mergeCell ref="A39:D39"/>
    <mergeCell ref="A8:C8"/>
    <mergeCell ref="A9:D9"/>
    <mergeCell ref="A43:C43"/>
    <mergeCell ref="A66:H66"/>
    <mergeCell ref="A67:H67"/>
    <mergeCell ref="A68:H68"/>
    <mergeCell ref="A69:H69"/>
  </mergeCells>
  <phoneticPr fontId="0" type="noConversion"/>
  <conditionalFormatting sqref="AB97:AB133 AB2:AB95">
    <cfRule type="expression" dxfId="9" priority="1" stopIfTrue="1">
      <formula>AA2=$A$9</formula>
    </cfRule>
  </conditionalFormatting>
  <conditionalFormatting sqref="AA97:AA133 AA2:AA95">
    <cfRule type="expression" dxfId="8" priority="2" stopIfTrue="1">
      <formula>AA2=$A$9</formula>
    </cfRule>
  </conditionalFormatting>
  <hyperlinks>
    <hyperlink ref="A9:D9" r:id="rId1" display="(Click here for Chart of Accounts)"/>
  </hyperlinks>
  <printOptions horizontalCentered="1"/>
  <pageMargins left="0.34" right="0.31" top="0.5" bottom="0.5" header="0.5" footer="0.5"/>
  <pageSetup scale="56" orientation="portrait" r:id="rId2"/>
  <headerFooter alignWithMargins="0"/>
  <rowBreaks count="1" manualBreakCount="1">
    <brk id="64" max="7" man="1"/>
  </rowBreaks>
  <drawing r:id="rId3"/>
  <legacyDrawing r:id="rId4"/>
  <mc:AlternateContent xmlns:mc="http://schemas.openxmlformats.org/markup-compatibility/2006">
    <mc:Choice Requires="x14">
      <controls>
        <mc:AlternateContent xmlns:mc="http://schemas.openxmlformats.org/markup-compatibility/2006">
          <mc:Choice Requires="x14">
            <control shapeId="6145" r:id="rId5" name="T15_Drop_Data">
              <controlPr defaultSize="0" autoLine="0" autoPict="0" macro="[0]!Drop_Down" altText="">
                <anchor moveWithCells="1">
                  <from>
                    <xdr:col>3</xdr:col>
                    <xdr:colOff>714375</xdr:colOff>
                    <xdr:row>2</xdr:row>
                    <xdr:rowOff>190500</xdr:rowOff>
                  </from>
                  <to>
                    <xdr:col>7</xdr:col>
                    <xdr:colOff>219075</xdr:colOff>
                    <xdr:row>4</xdr:row>
                    <xdr:rowOff>180975</xdr:rowOff>
                  </to>
                </anchor>
              </controlPr>
            </control>
          </mc:Choice>
        </mc:AlternateContent>
        <mc:AlternateContent xmlns:mc="http://schemas.openxmlformats.org/markup-compatibility/2006">
          <mc:Choice Requires="x14">
            <control shapeId="6151" r:id="rId6" name="Button 7">
              <controlPr defaultSize="0" print="0" autoFill="0" autoPict="0" macro="[0]!Sheet4.Chk_All_Divs">
                <anchor moveWithCells="1" sizeWithCells="1">
                  <from>
                    <xdr:col>44</xdr:col>
                    <xdr:colOff>123825</xdr:colOff>
                    <xdr:row>1</xdr:row>
                    <xdr:rowOff>85725</xdr:rowOff>
                  </from>
                  <to>
                    <xdr:col>53</xdr:col>
                    <xdr:colOff>533400</xdr:colOff>
                    <xdr:row>3</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indexed="22"/>
    <pageSetUpPr fitToPage="1"/>
  </sheetPr>
  <dimension ref="A1:Z135"/>
  <sheetViews>
    <sheetView zoomScale="90" zoomScaleNormal="90" workbookViewId="0">
      <pane ySplit="6" topLeftCell="A7" activePane="bottomLeft" state="frozen"/>
      <selection activeCell="F39" sqref="F39"/>
      <selection pane="bottomLeft" activeCell="A5" sqref="A5"/>
    </sheetView>
  </sheetViews>
  <sheetFormatPr defaultColWidth="9.140625" defaultRowHeight="15" x14ac:dyDescent="0.2"/>
  <cols>
    <col min="1" max="1" width="11" style="2" customWidth="1"/>
    <col min="2" max="2" width="32.85546875" style="2" customWidth="1"/>
    <col min="3" max="3" width="11.28515625" style="2" customWidth="1"/>
    <col min="4" max="5" width="20.7109375" style="2" customWidth="1"/>
    <col min="6" max="6" width="22.28515625" style="2" customWidth="1"/>
    <col min="7" max="7" width="2.5703125" style="2" customWidth="1"/>
    <col min="8" max="8" width="26.28515625" style="2" customWidth="1"/>
    <col min="9" max="9" width="25.7109375" style="24" customWidth="1"/>
    <col min="10" max="16384" width="9.140625" style="24"/>
  </cols>
  <sheetData>
    <row r="1" spans="1:26" s="1" customFormat="1" ht="25.5" customHeight="1" x14ac:dyDescent="0.3">
      <c r="A1" s="352" t="s">
        <v>136</v>
      </c>
      <c r="B1" s="353"/>
      <c r="C1" s="353"/>
      <c r="D1" s="353"/>
      <c r="E1" s="353"/>
      <c r="F1" s="353"/>
      <c r="G1" s="353"/>
      <c r="H1" s="354"/>
      <c r="I1" s="17"/>
      <c r="J1" s="17"/>
      <c r="K1" s="17"/>
      <c r="L1" s="17"/>
      <c r="M1" s="17"/>
      <c r="N1" s="17"/>
      <c r="O1" s="17"/>
      <c r="P1" s="17"/>
      <c r="Q1" s="17"/>
      <c r="R1" s="17"/>
      <c r="S1" s="17"/>
      <c r="T1" s="17"/>
      <c r="U1" s="17"/>
      <c r="V1" s="17"/>
      <c r="W1" s="17"/>
      <c r="X1" s="17"/>
      <c r="Y1" s="17"/>
      <c r="Z1" s="17"/>
    </row>
    <row r="2" spans="1:26" s="1" customFormat="1" ht="45" customHeight="1" thickBot="1" x14ac:dyDescent="0.25">
      <c r="A2" s="355" t="s">
        <v>650</v>
      </c>
      <c r="B2" s="356"/>
      <c r="C2" s="356"/>
      <c r="D2" s="356"/>
      <c r="E2" s="356"/>
      <c r="F2" s="356"/>
      <c r="G2" s="356"/>
      <c r="H2" s="357"/>
      <c r="I2" s="17"/>
      <c r="J2" s="17"/>
      <c r="K2" s="17"/>
      <c r="L2" s="17"/>
      <c r="M2" s="17"/>
      <c r="N2" s="17"/>
      <c r="O2" s="17"/>
      <c r="P2" s="17"/>
      <c r="Q2" s="17"/>
      <c r="R2" s="17"/>
      <c r="S2" s="17"/>
      <c r="T2" s="17"/>
      <c r="U2" s="17"/>
      <c r="V2" s="17"/>
      <c r="W2" s="17"/>
      <c r="X2" s="17"/>
      <c r="Y2" s="17"/>
      <c r="Z2" s="17"/>
    </row>
    <row r="3" spans="1:26" s="1" customFormat="1" x14ac:dyDescent="0.2">
      <c r="A3" s="128"/>
      <c r="B3" s="105"/>
      <c r="C3" s="100"/>
      <c r="D3" s="100"/>
      <c r="E3" s="100"/>
      <c r="F3" s="100"/>
      <c r="G3" s="100"/>
      <c r="H3" s="129"/>
      <c r="I3" s="17"/>
      <c r="J3" s="17"/>
      <c r="K3" s="17"/>
      <c r="L3" s="17"/>
      <c r="M3" s="17"/>
      <c r="N3" s="17"/>
      <c r="O3" s="17"/>
      <c r="P3" s="17"/>
      <c r="Q3" s="17"/>
      <c r="R3" s="17"/>
      <c r="S3" s="17"/>
      <c r="T3" s="17"/>
      <c r="U3" s="17"/>
      <c r="V3" s="17"/>
      <c r="W3" s="17"/>
      <c r="X3" s="17"/>
      <c r="Y3" s="17"/>
      <c r="Z3" s="17"/>
    </row>
    <row r="4" spans="1:26" s="1" customFormat="1" ht="15.75" x14ac:dyDescent="0.25">
      <c r="A4" s="130" t="s">
        <v>0</v>
      </c>
      <c r="B4" s="106" t="s">
        <v>1</v>
      </c>
      <c r="C4" s="103"/>
      <c r="D4" s="101"/>
      <c r="E4" s="101"/>
      <c r="F4" s="101"/>
      <c r="G4" s="101"/>
      <c r="H4" s="131"/>
      <c r="I4" s="17"/>
      <c r="J4" s="17"/>
      <c r="K4" s="17"/>
      <c r="L4" s="17"/>
      <c r="M4" s="17"/>
      <c r="N4" s="17"/>
      <c r="O4" s="17"/>
      <c r="P4" s="17"/>
      <c r="Q4" s="17"/>
      <c r="R4" s="17"/>
      <c r="S4" s="17"/>
      <c r="T4" s="17"/>
      <c r="U4" s="17"/>
      <c r="V4" s="17"/>
      <c r="W4" s="17"/>
      <c r="X4" s="17"/>
      <c r="Y4" s="17"/>
      <c r="Z4" s="17"/>
    </row>
    <row r="5" spans="1:26" s="1" customFormat="1" ht="21.95" customHeight="1" x14ac:dyDescent="0.25">
      <c r="A5" s="29">
        <f>'Fiscal Year 2018 Worksheet'!A5</f>
        <v>0</v>
      </c>
      <c r="B5" s="30" t="str">
        <f>'Fiscal Year 2018 Worksheet'!B5</f>
        <v>&lt;SELECT DIVISION&gt;</v>
      </c>
      <c r="C5" s="104"/>
      <c r="D5" s="101"/>
      <c r="E5" s="101"/>
      <c r="F5" s="101"/>
      <c r="G5" s="101"/>
      <c r="H5" s="131"/>
      <c r="I5" s="17"/>
      <c r="J5" s="17"/>
      <c r="K5" s="17"/>
      <c r="L5" s="17"/>
      <c r="M5" s="17"/>
      <c r="N5" s="17"/>
      <c r="O5" s="17"/>
      <c r="P5" s="17"/>
      <c r="Q5" s="17"/>
      <c r="R5" s="17"/>
      <c r="S5" s="17"/>
      <c r="T5" s="17"/>
      <c r="U5" s="17"/>
      <c r="V5" s="17"/>
      <c r="W5" s="17"/>
      <c r="X5" s="17"/>
      <c r="Y5" s="17"/>
      <c r="Z5" s="17"/>
    </row>
    <row r="6" spans="1:26" s="1" customFormat="1" ht="11.1" customHeight="1" thickBot="1" x14ac:dyDescent="0.25">
      <c r="A6" s="162"/>
      <c r="B6" s="163"/>
      <c r="C6" s="135"/>
      <c r="D6" s="135"/>
      <c r="E6" s="135"/>
      <c r="F6" s="135"/>
      <c r="G6" s="135"/>
      <c r="H6" s="136"/>
      <c r="I6" s="17"/>
      <c r="J6" s="17"/>
      <c r="K6" s="17"/>
      <c r="L6" s="17"/>
      <c r="M6" s="17"/>
      <c r="N6" s="17"/>
      <c r="O6" s="17"/>
      <c r="P6" s="17"/>
      <c r="Q6" s="17"/>
      <c r="R6" s="17"/>
      <c r="S6" s="17"/>
      <c r="T6" s="17"/>
      <c r="U6" s="17"/>
      <c r="V6" s="17"/>
      <c r="W6" s="17"/>
      <c r="X6" s="17"/>
      <c r="Y6" s="17"/>
      <c r="Z6" s="17"/>
    </row>
    <row r="7" spans="1:26" s="1" customFormat="1" ht="11.1" customHeight="1" x14ac:dyDescent="0.2">
      <c r="A7" s="155"/>
      <c r="B7" s="107"/>
      <c r="C7" s="107"/>
      <c r="D7" s="107"/>
      <c r="E7" s="107"/>
      <c r="F7" s="120"/>
      <c r="G7" s="107"/>
      <c r="H7" s="153"/>
      <c r="I7" s="17"/>
      <c r="J7" s="17"/>
      <c r="K7" s="17"/>
      <c r="L7" s="17"/>
      <c r="M7" s="17"/>
      <c r="N7" s="17"/>
      <c r="O7" s="17"/>
      <c r="P7" s="17"/>
      <c r="Q7" s="17"/>
      <c r="R7" s="17"/>
      <c r="S7" s="17"/>
      <c r="T7" s="17"/>
      <c r="U7" s="17"/>
      <c r="V7" s="17"/>
      <c r="W7" s="17"/>
      <c r="X7" s="17"/>
      <c r="Y7" s="17"/>
      <c r="Z7" s="17"/>
    </row>
    <row r="8" spans="1:26" s="1" customFormat="1" ht="15" customHeight="1" x14ac:dyDescent="0.2">
      <c r="A8" s="334" t="s">
        <v>646</v>
      </c>
      <c r="B8" s="335"/>
      <c r="C8" s="335"/>
      <c r="D8" s="248"/>
      <c r="E8" s="108"/>
      <c r="F8" s="32"/>
      <c r="G8" s="103"/>
      <c r="H8" s="139"/>
      <c r="I8" s="20"/>
      <c r="J8" s="20"/>
      <c r="K8" s="17"/>
      <c r="L8" s="17"/>
      <c r="M8" s="17"/>
      <c r="N8" s="17"/>
      <c r="O8" s="17"/>
      <c r="P8" s="17"/>
      <c r="Q8" s="17"/>
      <c r="R8" s="17"/>
      <c r="S8" s="17"/>
      <c r="T8" s="17"/>
      <c r="U8" s="17"/>
      <c r="V8" s="17"/>
      <c r="W8" s="17"/>
      <c r="X8" s="17"/>
      <c r="Y8" s="17"/>
      <c r="Z8" s="17"/>
    </row>
    <row r="9" spans="1:26" s="1" customFormat="1" ht="16.5" customHeight="1" x14ac:dyDescent="0.2">
      <c r="A9" s="358" t="s">
        <v>658</v>
      </c>
      <c r="B9" s="359"/>
      <c r="C9" s="359"/>
      <c r="D9" s="359"/>
      <c r="E9" s="118"/>
      <c r="F9" s="120"/>
      <c r="G9" s="101"/>
      <c r="H9" s="139"/>
      <c r="I9" s="21"/>
      <c r="J9" s="22"/>
      <c r="K9" s="17"/>
      <c r="L9" s="17"/>
      <c r="M9" s="17"/>
      <c r="N9" s="17"/>
      <c r="O9" s="17"/>
      <c r="P9" s="17"/>
      <c r="Q9" s="17"/>
      <c r="R9" s="17"/>
      <c r="S9" s="17"/>
      <c r="T9" s="17"/>
      <c r="U9" s="17"/>
      <c r="V9" s="17"/>
      <c r="W9" s="17"/>
      <c r="X9" s="17"/>
      <c r="Y9" s="17"/>
      <c r="Z9" s="17"/>
    </row>
    <row r="10" spans="1:26" s="1" customFormat="1" x14ac:dyDescent="0.2">
      <c r="A10" s="141" t="s">
        <v>589</v>
      </c>
      <c r="B10" s="109"/>
      <c r="C10" s="109"/>
      <c r="D10" s="109"/>
      <c r="E10" s="110"/>
      <c r="F10" s="12"/>
      <c r="G10" s="103"/>
      <c r="H10" s="139"/>
      <c r="I10" s="20"/>
      <c r="J10" s="20"/>
      <c r="K10" s="17"/>
      <c r="L10" s="17"/>
      <c r="M10" s="17"/>
      <c r="N10" s="17"/>
      <c r="O10" s="17"/>
      <c r="P10" s="17"/>
      <c r="Q10" s="17"/>
      <c r="R10" s="17"/>
      <c r="S10" s="17"/>
      <c r="T10" s="17"/>
      <c r="U10" s="17"/>
      <c r="V10" s="17"/>
      <c r="W10" s="17"/>
      <c r="X10" s="17"/>
      <c r="Y10" s="17"/>
      <c r="Z10" s="17"/>
    </row>
    <row r="11" spans="1:26" s="1" customFormat="1" ht="6.75" customHeight="1" x14ac:dyDescent="0.2">
      <c r="A11" s="141"/>
      <c r="B11" s="109"/>
      <c r="C11" s="109"/>
      <c r="D11" s="109"/>
      <c r="E11" s="117"/>
      <c r="F11" s="107"/>
      <c r="G11" s="101"/>
      <c r="H11" s="139"/>
      <c r="I11" s="20"/>
      <c r="J11" s="20"/>
      <c r="K11" s="17"/>
      <c r="L11" s="17"/>
      <c r="M11" s="17"/>
      <c r="N11" s="17"/>
      <c r="O11" s="17"/>
      <c r="P11" s="17"/>
      <c r="Q11" s="17"/>
      <c r="R11" s="17"/>
      <c r="S11" s="17"/>
      <c r="T11" s="17"/>
      <c r="U11" s="17"/>
      <c r="V11" s="17"/>
      <c r="W11" s="17"/>
      <c r="X11" s="17"/>
      <c r="Y11" s="17"/>
      <c r="Z11" s="17"/>
    </row>
    <row r="12" spans="1:26" s="1" customFormat="1" x14ac:dyDescent="0.2">
      <c r="A12" s="141" t="s">
        <v>618</v>
      </c>
      <c r="B12" s="101"/>
      <c r="C12" s="109"/>
      <c r="D12" s="109"/>
      <c r="E12" s="117"/>
      <c r="F12" s="117"/>
      <c r="G12" s="101"/>
      <c r="H12" s="139"/>
      <c r="I12" s="20"/>
      <c r="J12" s="20"/>
      <c r="K12" s="17"/>
      <c r="L12" s="17"/>
      <c r="M12" s="17"/>
      <c r="N12" s="17"/>
      <c r="O12" s="17"/>
      <c r="P12" s="17"/>
      <c r="Q12" s="17"/>
      <c r="R12" s="17"/>
      <c r="S12" s="17"/>
      <c r="T12" s="17"/>
      <c r="U12" s="17"/>
      <c r="V12" s="17"/>
      <c r="W12" s="17"/>
      <c r="X12" s="17"/>
      <c r="Y12" s="17"/>
      <c r="Z12" s="17"/>
    </row>
    <row r="13" spans="1:26" s="1" customFormat="1" ht="6.75" customHeight="1" x14ac:dyDescent="0.2">
      <c r="A13" s="141"/>
      <c r="B13" s="101"/>
      <c r="C13" s="109"/>
      <c r="D13" s="109"/>
      <c r="E13" s="117"/>
      <c r="F13" s="281"/>
      <c r="G13" s="101"/>
      <c r="H13" s="139"/>
      <c r="I13" s="20"/>
      <c r="J13" s="20"/>
      <c r="K13" s="17"/>
      <c r="L13" s="17"/>
      <c r="M13" s="17"/>
      <c r="N13" s="17"/>
      <c r="O13" s="17"/>
      <c r="P13" s="17"/>
      <c r="Q13" s="17"/>
      <c r="R13" s="17"/>
      <c r="S13" s="17"/>
      <c r="T13" s="17"/>
      <c r="U13" s="17"/>
      <c r="V13" s="17"/>
      <c r="W13" s="17"/>
      <c r="X13" s="17"/>
      <c r="Y13" s="17"/>
      <c r="Z13" s="17"/>
    </row>
    <row r="14" spans="1:26" s="1" customFormat="1" x14ac:dyDescent="0.2">
      <c r="A14" s="141"/>
      <c r="B14" s="101" t="s">
        <v>610</v>
      </c>
      <c r="C14" s="109"/>
      <c r="D14" s="109"/>
      <c r="E14" s="110"/>
      <c r="F14" s="12"/>
      <c r="G14" s="103"/>
      <c r="H14" s="139"/>
      <c r="I14" s="20"/>
      <c r="J14" s="20"/>
      <c r="K14" s="17"/>
      <c r="L14" s="17"/>
      <c r="M14" s="17"/>
      <c r="N14" s="17"/>
      <c r="O14" s="17"/>
      <c r="P14" s="17"/>
      <c r="Q14" s="17"/>
      <c r="R14" s="17"/>
      <c r="S14" s="17"/>
      <c r="T14" s="17"/>
      <c r="U14" s="17"/>
      <c r="V14" s="17"/>
      <c r="W14" s="17"/>
      <c r="X14" s="17"/>
      <c r="Y14" s="17"/>
      <c r="Z14" s="17"/>
    </row>
    <row r="15" spans="1:26" s="1" customFormat="1" ht="6.75" customHeight="1" x14ac:dyDescent="0.2">
      <c r="A15" s="141"/>
      <c r="B15" s="101"/>
      <c r="C15" s="109"/>
      <c r="D15" s="109"/>
      <c r="E15" s="117"/>
      <c r="F15" s="282"/>
      <c r="G15" s="101"/>
      <c r="H15" s="139"/>
      <c r="I15" s="20"/>
      <c r="J15" s="20"/>
      <c r="K15" s="17"/>
      <c r="L15" s="17"/>
      <c r="M15" s="17"/>
      <c r="N15" s="17"/>
      <c r="O15" s="17"/>
      <c r="P15" s="17"/>
      <c r="Q15" s="17"/>
      <c r="R15" s="17"/>
      <c r="S15" s="17"/>
      <c r="T15" s="17"/>
      <c r="U15" s="17"/>
      <c r="V15" s="17"/>
      <c r="W15" s="17"/>
      <c r="X15" s="17"/>
      <c r="Y15" s="17"/>
      <c r="Z15" s="17"/>
    </row>
    <row r="16" spans="1:26" s="1" customFormat="1" ht="15" customHeight="1" x14ac:dyDescent="0.2">
      <c r="A16" s="141"/>
      <c r="B16" s="101" t="s">
        <v>611</v>
      </c>
      <c r="C16" s="109"/>
      <c r="D16" s="109"/>
      <c r="E16" s="110"/>
      <c r="F16" s="12"/>
      <c r="G16" s="103"/>
      <c r="H16" s="139"/>
      <c r="I16" s="20"/>
      <c r="J16" s="20"/>
      <c r="K16" s="17"/>
      <c r="L16" s="17"/>
      <c r="M16" s="17"/>
      <c r="N16" s="17"/>
      <c r="O16" s="17"/>
      <c r="P16" s="17"/>
      <c r="Q16" s="17"/>
      <c r="R16" s="17"/>
      <c r="S16" s="17"/>
      <c r="T16" s="17"/>
      <c r="U16" s="17"/>
      <c r="V16" s="17"/>
      <c r="W16" s="17"/>
      <c r="X16" s="17"/>
      <c r="Y16" s="17"/>
      <c r="Z16" s="17"/>
    </row>
    <row r="17" spans="1:26" s="1" customFormat="1" ht="6.95" customHeight="1" thickBot="1" x14ac:dyDescent="0.25">
      <c r="A17" s="142"/>
      <c r="B17" s="111"/>
      <c r="C17" s="111"/>
      <c r="D17" s="111"/>
      <c r="E17" s="117"/>
      <c r="F17" s="258"/>
      <c r="G17" s="101"/>
      <c r="H17" s="143"/>
      <c r="I17" s="20"/>
      <c r="J17" s="20"/>
      <c r="K17" s="17"/>
      <c r="L17" s="17"/>
      <c r="M17" s="17"/>
      <c r="N17" s="17"/>
      <c r="O17" s="17"/>
      <c r="P17" s="17"/>
      <c r="Q17" s="17"/>
      <c r="R17" s="17"/>
      <c r="S17" s="17"/>
      <c r="T17" s="17"/>
      <c r="U17" s="17"/>
      <c r="V17" s="17"/>
      <c r="W17" s="17"/>
      <c r="X17" s="17"/>
      <c r="Y17" s="17"/>
      <c r="Z17" s="17"/>
    </row>
    <row r="18" spans="1:26" s="1" customFormat="1" ht="16.5" thickBot="1" x14ac:dyDescent="0.3">
      <c r="A18" s="144" t="s">
        <v>614</v>
      </c>
      <c r="B18" s="112"/>
      <c r="C18" s="111"/>
      <c r="D18" s="111"/>
      <c r="E18" s="117"/>
      <c r="F18" s="101"/>
      <c r="G18" s="108"/>
      <c r="H18" s="26">
        <f>SUM(F8-F10)+F14+F16</f>
        <v>0</v>
      </c>
      <c r="I18" s="20"/>
      <c r="J18" s="20"/>
      <c r="K18" s="17"/>
      <c r="L18" s="17"/>
      <c r="M18" s="17"/>
      <c r="N18" s="17"/>
      <c r="O18" s="17"/>
      <c r="P18" s="17"/>
      <c r="Q18" s="17"/>
      <c r="R18" s="17"/>
      <c r="S18" s="17"/>
      <c r="T18" s="17"/>
      <c r="U18" s="17"/>
      <c r="V18" s="17"/>
      <c r="W18" s="17"/>
      <c r="X18" s="17"/>
      <c r="Y18" s="17"/>
      <c r="Z18" s="17"/>
    </row>
    <row r="19" spans="1:26" s="1" customFormat="1" ht="7.15" customHeight="1" x14ac:dyDescent="0.2">
      <c r="A19" s="146"/>
      <c r="B19" s="101"/>
      <c r="C19" s="101"/>
      <c r="D19" s="101"/>
      <c r="E19" s="101"/>
      <c r="F19" s="102"/>
      <c r="G19" s="101"/>
      <c r="H19" s="147"/>
      <c r="I19" s="20"/>
      <c r="J19" s="20"/>
      <c r="K19" s="17"/>
      <c r="L19" s="17"/>
      <c r="M19" s="17"/>
      <c r="N19" s="17"/>
      <c r="O19" s="17"/>
      <c r="P19" s="17"/>
      <c r="Q19" s="17"/>
      <c r="R19" s="17"/>
      <c r="S19" s="17"/>
      <c r="T19" s="17"/>
      <c r="U19" s="17"/>
      <c r="V19" s="17"/>
      <c r="W19" s="17"/>
      <c r="X19" s="17"/>
      <c r="Y19" s="17"/>
      <c r="Z19" s="17"/>
    </row>
    <row r="20" spans="1:26" s="1" customFormat="1" x14ac:dyDescent="0.2">
      <c r="A20" s="334" t="s">
        <v>647</v>
      </c>
      <c r="B20" s="335"/>
      <c r="C20" s="335"/>
      <c r="D20" s="101"/>
      <c r="E20" s="113"/>
      <c r="F20" s="12"/>
      <c r="G20" s="103"/>
      <c r="H20" s="148"/>
      <c r="I20" s="20"/>
      <c r="J20" s="20"/>
      <c r="K20" s="17"/>
      <c r="L20" s="17"/>
      <c r="M20" s="17"/>
      <c r="N20" s="17"/>
      <c r="O20" s="17"/>
      <c r="P20" s="17"/>
      <c r="Q20" s="17"/>
      <c r="R20" s="17"/>
      <c r="S20" s="17"/>
      <c r="T20" s="17"/>
      <c r="U20" s="17"/>
      <c r="V20" s="17"/>
      <c r="W20" s="17"/>
      <c r="X20" s="17"/>
      <c r="Y20" s="17"/>
      <c r="Z20" s="17"/>
    </row>
    <row r="21" spans="1:26" s="1" customFormat="1" ht="6.95" customHeight="1" x14ac:dyDescent="0.2">
      <c r="A21" s="146"/>
      <c r="B21" s="114"/>
      <c r="C21" s="114"/>
      <c r="D21" s="114"/>
      <c r="E21" s="114"/>
      <c r="F21" s="282"/>
      <c r="G21" s="101"/>
      <c r="H21" s="149"/>
      <c r="I21" s="20"/>
      <c r="J21" s="20"/>
      <c r="K21" s="17"/>
      <c r="L21" s="17"/>
      <c r="M21" s="17"/>
      <c r="N21" s="17"/>
      <c r="O21" s="17"/>
      <c r="P21" s="17"/>
      <c r="Q21" s="17"/>
      <c r="R21" s="17"/>
      <c r="S21" s="17"/>
      <c r="T21" s="17"/>
      <c r="U21" s="17"/>
      <c r="V21" s="17"/>
      <c r="W21" s="17"/>
      <c r="X21" s="17"/>
      <c r="Y21" s="17"/>
      <c r="Z21" s="17"/>
    </row>
    <row r="22" spans="1:26" s="1" customFormat="1" x14ac:dyDescent="0.2">
      <c r="A22" s="141" t="s">
        <v>2</v>
      </c>
      <c r="B22" s="101"/>
      <c r="C22" s="101"/>
      <c r="D22" s="101"/>
      <c r="E22" s="108"/>
      <c r="F22" s="12"/>
      <c r="G22" s="103"/>
      <c r="H22" s="149"/>
      <c r="I22" s="20"/>
      <c r="J22" s="20"/>
      <c r="K22" s="17"/>
      <c r="L22" s="17"/>
      <c r="M22" s="17"/>
      <c r="N22" s="17"/>
      <c r="O22" s="17"/>
      <c r="P22" s="17"/>
      <c r="Q22" s="17"/>
      <c r="R22" s="17"/>
      <c r="S22" s="17"/>
      <c r="T22" s="17"/>
      <c r="U22" s="17"/>
      <c r="V22" s="17"/>
      <c r="W22" s="17"/>
      <c r="X22" s="17"/>
      <c r="Y22" s="17"/>
      <c r="Z22" s="17"/>
    </row>
    <row r="23" spans="1:26" s="1" customFormat="1" ht="6.75" customHeight="1" x14ac:dyDescent="0.2">
      <c r="A23" s="150"/>
      <c r="B23" s="101"/>
      <c r="C23" s="101"/>
      <c r="D23" s="101"/>
      <c r="E23" s="101"/>
      <c r="F23" s="283"/>
      <c r="G23" s="101"/>
      <c r="H23" s="149"/>
      <c r="I23" s="20"/>
      <c r="J23" s="20"/>
      <c r="K23" s="17"/>
      <c r="L23" s="17"/>
      <c r="M23" s="17"/>
      <c r="N23" s="17"/>
      <c r="O23" s="17"/>
      <c r="P23" s="17"/>
      <c r="Q23" s="17"/>
      <c r="R23" s="17"/>
      <c r="S23" s="17"/>
      <c r="T23" s="17"/>
      <c r="U23" s="17"/>
      <c r="V23" s="17"/>
      <c r="W23" s="17"/>
      <c r="X23" s="17"/>
      <c r="Y23" s="17"/>
      <c r="Z23" s="17"/>
    </row>
    <row r="24" spans="1:26" s="1" customFormat="1" x14ac:dyDescent="0.2">
      <c r="A24" s="141" t="s">
        <v>609</v>
      </c>
      <c r="B24" s="101"/>
      <c r="C24" s="101"/>
      <c r="D24" s="101"/>
      <c r="E24" s="101"/>
      <c r="F24" s="101"/>
      <c r="G24" s="101"/>
      <c r="H24" s="149"/>
      <c r="I24" s="20"/>
      <c r="J24" s="20"/>
      <c r="K24" s="17"/>
      <c r="L24" s="17"/>
      <c r="M24" s="17"/>
      <c r="N24" s="17"/>
      <c r="O24" s="17"/>
      <c r="P24" s="17"/>
      <c r="Q24" s="17"/>
      <c r="R24" s="17"/>
      <c r="S24" s="17"/>
      <c r="T24" s="17"/>
      <c r="U24" s="17"/>
      <c r="V24" s="17"/>
      <c r="W24" s="17"/>
      <c r="X24" s="17"/>
      <c r="Y24" s="17"/>
      <c r="Z24" s="17"/>
    </row>
    <row r="25" spans="1:26" s="1" customFormat="1" ht="6.75" customHeight="1" x14ac:dyDescent="0.2">
      <c r="A25" s="141"/>
      <c r="B25" s="101"/>
      <c r="C25" s="101"/>
      <c r="D25" s="101"/>
      <c r="E25" s="101"/>
      <c r="F25" s="281"/>
      <c r="G25" s="101"/>
      <c r="H25" s="149"/>
      <c r="I25" s="20"/>
      <c r="J25" s="20"/>
      <c r="K25" s="17"/>
      <c r="L25" s="17"/>
      <c r="M25" s="17"/>
      <c r="N25" s="17"/>
      <c r="O25" s="17"/>
      <c r="P25" s="17"/>
      <c r="Q25" s="17"/>
      <c r="R25" s="17"/>
      <c r="S25" s="17"/>
      <c r="T25" s="17"/>
      <c r="U25" s="17"/>
      <c r="V25" s="17"/>
      <c r="W25" s="17"/>
      <c r="X25" s="17"/>
      <c r="Y25" s="17"/>
      <c r="Z25" s="17"/>
    </row>
    <row r="26" spans="1:26" s="1" customFormat="1" x14ac:dyDescent="0.2">
      <c r="A26" s="141"/>
      <c r="B26" s="101" t="s">
        <v>610</v>
      </c>
      <c r="C26" s="101"/>
      <c r="D26" s="101"/>
      <c r="E26" s="108"/>
      <c r="F26" s="12"/>
      <c r="G26" s="103"/>
      <c r="H26" s="149"/>
      <c r="I26" s="20"/>
      <c r="J26" s="20"/>
      <c r="K26" s="17"/>
      <c r="L26" s="17"/>
      <c r="M26" s="17"/>
      <c r="N26" s="17"/>
      <c r="O26" s="17"/>
      <c r="P26" s="17"/>
      <c r="Q26" s="17"/>
      <c r="R26" s="17"/>
      <c r="S26" s="17"/>
      <c r="T26" s="17"/>
      <c r="U26" s="17"/>
      <c r="V26" s="17"/>
      <c r="W26" s="17"/>
      <c r="X26" s="17"/>
      <c r="Y26" s="17"/>
      <c r="Z26" s="17"/>
    </row>
    <row r="27" spans="1:26" s="1" customFormat="1" ht="6.75" customHeight="1" x14ac:dyDescent="0.2">
      <c r="A27" s="141"/>
      <c r="B27" s="101"/>
      <c r="C27" s="101"/>
      <c r="D27" s="101"/>
      <c r="E27" s="101"/>
      <c r="F27" s="124"/>
      <c r="G27" s="101"/>
      <c r="H27" s="149"/>
      <c r="I27" s="20"/>
      <c r="J27" s="20"/>
      <c r="K27" s="17"/>
      <c r="L27" s="17"/>
      <c r="M27" s="17"/>
      <c r="N27" s="17"/>
      <c r="O27" s="17"/>
      <c r="P27" s="17"/>
      <c r="Q27" s="17"/>
      <c r="R27" s="17"/>
      <c r="S27" s="17"/>
      <c r="T27" s="17"/>
      <c r="U27" s="17"/>
      <c r="V27" s="17"/>
      <c r="W27" s="17"/>
      <c r="X27" s="17"/>
      <c r="Y27" s="17"/>
      <c r="Z27" s="17"/>
    </row>
    <row r="28" spans="1:26" s="1" customFormat="1" ht="16.5" customHeight="1" x14ac:dyDescent="0.2">
      <c r="A28" s="141"/>
      <c r="B28" s="101" t="s">
        <v>611</v>
      </c>
      <c r="C28" s="101"/>
      <c r="D28" s="101"/>
      <c r="E28" s="108"/>
      <c r="F28" s="12"/>
      <c r="G28" s="103"/>
      <c r="H28" s="149"/>
      <c r="I28" s="20"/>
      <c r="J28" s="20"/>
      <c r="K28" s="17"/>
      <c r="L28" s="17"/>
      <c r="M28" s="17"/>
      <c r="N28" s="17"/>
      <c r="O28" s="17"/>
      <c r="P28" s="17"/>
      <c r="Q28" s="17"/>
      <c r="R28" s="17"/>
      <c r="S28" s="17"/>
      <c r="T28" s="17"/>
      <c r="U28" s="17"/>
      <c r="V28" s="17"/>
      <c r="W28" s="17"/>
      <c r="X28" s="17"/>
      <c r="Y28" s="17"/>
      <c r="Z28" s="17"/>
    </row>
    <row r="29" spans="1:26" s="1" customFormat="1" ht="6.75" customHeight="1" x14ac:dyDescent="0.2">
      <c r="A29" s="150"/>
      <c r="B29" s="101"/>
      <c r="C29" s="101"/>
      <c r="D29" s="101"/>
      <c r="E29" s="101"/>
      <c r="F29" s="124"/>
      <c r="G29" s="101"/>
      <c r="H29" s="149"/>
      <c r="I29" s="20"/>
      <c r="J29" s="20"/>
      <c r="K29" s="17"/>
      <c r="L29" s="17"/>
      <c r="M29" s="17"/>
      <c r="N29" s="17"/>
      <c r="O29" s="17"/>
      <c r="P29" s="17"/>
      <c r="Q29" s="17"/>
      <c r="R29" s="17"/>
      <c r="S29" s="17"/>
      <c r="T29" s="17"/>
      <c r="U29" s="17"/>
      <c r="V29" s="17"/>
      <c r="W29" s="17"/>
      <c r="X29" s="17"/>
      <c r="Y29" s="17"/>
      <c r="Z29" s="17"/>
    </row>
    <row r="30" spans="1:26" s="1" customFormat="1" x14ac:dyDescent="0.2">
      <c r="A30" s="141" t="s">
        <v>607</v>
      </c>
      <c r="B30" s="101"/>
      <c r="C30" s="101"/>
      <c r="D30" s="101"/>
      <c r="E30" s="108"/>
      <c r="F30" s="12"/>
      <c r="G30" s="103"/>
      <c r="H30" s="149"/>
      <c r="I30" s="20"/>
      <c r="J30" s="20"/>
      <c r="K30" s="17"/>
      <c r="L30" s="17"/>
      <c r="M30" s="17"/>
      <c r="N30" s="17"/>
      <c r="O30" s="17"/>
      <c r="P30" s="17"/>
      <c r="Q30" s="17"/>
      <c r="R30" s="17"/>
      <c r="S30" s="17"/>
      <c r="T30" s="17"/>
      <c r="U30" s="17"/>
      <c r="V30" s="17"/>
      <c r="W30" s="17"/>
      <c r="X30" s="17"/>
      <c r="Y30" s="17"/>
      <c r="Z30" s="17"/>
    </row>
    <row r="31" spans="1:26" s="1" customFormat="1" ht="6.95" customHeight="1" x14ac:dyDescent="0.2">
      <c r="A31" s="150"/>
      <c r="B31" s="101"/>
      <c r="C31" s="101"/>
      <c r="D31" s="101"/>
      <c r="E31" s="101"/>
      <c r="F31" s="121"/>
      <c r="G31" s="101"/>
      <c r="H31" s="149"/>
      <c r="I31" s="20"/>
      <c r="J31" s="20"/>
      <c r="K31" s="17"/>
      <c r="L31" s="17"/>
      <c r="M31" s="17"/>
      <c r="N31" s="17"/>
      <c r="O31" s="17"/>
      <c r="P31" s="17"/>
      <c r="Q31" s="17"/>
      <c r="R31" s="17"/>
      <c r="S31" s="17"/>
      <c r="T31" s="17"/>
      <c r="U31" s="17"/>
      <c r="V31" s="17"/>
      <c r="W31" s="17"/>
      <c r="X31" s="17"/>
      <c r="Y31" s="17"/>
      <c r="Z31" s="17"/>
    </row>
    <row r="32" spans="1:26" s="1" customFormat="1" x14ac:dyDescent="0.2">
      <c r="A32" s="151" t="s">
        <v>608</v>
      </c>
      <c r="B32" s="101"/>
      <c r="C32" s="101"/>
      <c r="D32" s="101"/>
      <c r="E32" s="101"/>
      <c r="F32" s="122"/>
      <c r="G32" s="101"/>
      <c r="H32" s="149"/>
      <c r="I32" s="20"/>
      <c r="J32" s="20"/>
      <c r="K32" s="17"/>
      <c r="L32" s="17"/>
      <c r="M32" s="17"/>
      <c r="N32" s="17"/>
      <c r="O32" s="17"/>
      <c r="P32" s="17"/>
      <c r="Q32" s="17"/>
      <c r="R32" s="17"/>
      <c r="S32" s="17"/>
      <c r="T32" s="17"/>
      <c r="U32" s="17"/>
      <c r="V32" s="17"/>
      <c r="W32" s="17"/>
      <c r="X32" s="17"/>
      <c r="Y32" s="17"/>
      <c r="Z32" s="17"/>
    </row>
    <row r="33" spans="1:26" s="1" customFormat="1" ht="15.75" customHeight="1" x14ac:dyDescent="0.2">
      <c r="A33" s="151" t="s">
        <v>598</v>
      </c>
      <c r="B33" s="263"/>
      <c r="C33" s="263"/>
      <c r="D33" s="263"/>
      <c r="E33" s="158"/>
      <c r="F33" s="12"/>
      <c r="G33" s="103"/>
      <c r="H33" s="149"/>
      <c r="I33" s="21"/>
      <c r="J33" s="22"/>
      <c r="K33" s="17"/>
      <c r="L33" s="17"/>
      <c r="M33" s="17"/>
      <c r="N33" s="17"/>
      <c r="O33" s="17"/>
      <c r="P33" s="17"/>
      <c r="Q33" s="17"/>
      <c r="R33" s="17"/>
      <c r="S33" s="17"/>
      <c r="T33" s="17"/>
      <c r="U33" s="17"/>
      <c r="V33" s="17"/>
      <c r="W33" s="17"/>
      <c r="X33" s="17"/>
      <c r="Y33" s="17"/>
      <c r="Z33" s="17"/>
    </row>
    <row r="34" spans="1:26" s="1" customFormat="1" ht="6" customHeight="1" x14ac:dyDescent="0.2">
      <c r="A34" s="146"/>
      <c r="B34" s="101"/>
      <c r="C34" s="101"/>
      <c r="D34" s="101"/>
      <c r="E34" s="157"/>
      <c r="F34" s="268"/>
      <c r="G34" s="101"/>
      <c r="H34" s="149"/>
      <c r="I34" s="21"/>
      <c r="J34" s="22"/>
      <c r="K34" s="17"/>
      <c r="L34" s="17"/>
      <c r="M34" s="17"/>
      <c r="N34" s="17"/>
      <c r="O34" s="17"/>
      <c r="P34" s="17"/>
      <c r="Q34" s="17"/>
      <c r="R34" s="17"/>
      <c r="S34" s="17"/>
      <c r="T34" s="17"/>
      <c r="U34" s="17"/>
      <c r="V34" s="17"/>
      <c r="W34" s="17"/>
      <c r="X34" s="17"/>
      <c r="Y34" s="17"/>
      <c r="Z34" s="17"/>
    </row>
    <row r="35" spans="1:26" s="1" customFormat="1" x14ac:dyDescent="0.2">
      <c r="A35" s="144" t="s">
        <v>612</v>
      </c>
      <c r="B35" s="101"/>
      <c r="C35" s="101"/>
      <c r="D35" s="101"/>
      <c r="E35" s="108"/>
      <c r="F35" s="160">
        <f>F20+F22+F26+F28-F30-F33</f>
        <v>0</v>
      </c>
      <c r="G35" s="103"/>
      <c r="H35" s="149"/>
      <c r="I35" s="20"/>
      <c r="J35" s="20"/>
      <c r="K35" s="17"/>
      <c r="L35" s="17"/>
      <c r="M35" s="17"/>
      <c r="N35" s="17"/>
      <c r="O35" s="17"/>
      <c r="P35" s="17"/>
      <c r="Q35" s="17"/>
      <c r="R35" s="17"/>
      <c r="S35" s="17"/>
      <c r="T35" s="17"/>
      <c r="U35" s="17"/>
      <c r="V35" s="17"/>
      <c r="W35" s="17"/>
      <c r="X35" s="17"/>
      <c r="Y35" s="17"/>
      <c r="Z35" s="17"/>
    </row>
    <row r="36" spans="1:26" s="1" customFormat="1" ht="6.95" customHeight="1" thickBot="1" x14ac:dyDescent="0.25">
      <c r="A36" s="146"/>
      <c r="B36" s="101"/>
      <c r="C36" s="101"/>
      <c r="D36" s="101"/>
      <c r="E36" s="114"/>
      <c r="F36" s="107"/>
      <c r="G36" s="101"/>
      <c r="H36" s="143"/>
      <c r="I36" s="20"/>
      <c r="J36" s="20"/>
      <c r="K36" s="17"/>
      <c r="L36" s="17"/>
      <c r="M36" s="17"/>
      <c r="N36" s="17"/>
      <c r="O36" s="17"/>
      <c r="P36" s="17"/>
      <c r="Q36" s="17"/>
      <c r="R36" s="17"/>
      <c r="S36" s="17"/>
      <c r="T36" s="17"/>
      <c r="U36" s="17"/>
      <c r="V36" s="17"/>
      <c r="W36" s="17"/>
      <c r="X36" s="17"/>
      <c r="Y36" s="17"/>
      <c r="Z36" s="17"/>
    </row>
    <row r="37" spans="1:26" s="1" customFormat="1" ht="16.5" thickBot="1" x14ac:dyDescent="0.3">
      <c r="A37" s="152" t="s">
        <v>613</v>
      </c>
      <c r="B37" s="112"/>
      <c r="C37" s="101"/>
      <c r="D37" s="101"/>
      <c r="E37" s="114"/>
      <c r="F37" s="101"/>
      <c r="G37" s="108"/>
      <c r="H37" s="26" t="str">
        <f>IF(ISNUMBER(F63),(ROUND(F35/$F$63,0)),"Enter ADM in Cell F63")</f>
        <v>Enter ADM in Cell F63</v>
      </c>
      <c r="I37" s="20"/>
      <c r="J37" s="20"/>
      <c r="K37" s="17"/>
      <c r="L37" s="17"/>
      <c r="M37" s="17"/>
      <c r="N37" s="17"/>
      <c r="O37" s="17"/>
      <c r="P37" s="17"/>
      <c r="Q37" s="17"/>
      <c r="R37" s="17"/>
      <c r="S37" s="17"/>
      <c r="T37" s="17"/>
      <c r="U37" s="17"/>
      <c r="V37" s="17"/>
      <c r="W37" s="17"/>
      <c r="X37" s="17"/>
      <c r="Y37" s="17"/>
      <c r="Z37" s="17"/>
    </row>
    <row r="38" spans="1:26" s="1" customFormat="1" ht="21.95" customHeight="1" x14ac:dyDescent="0.2">
      <c r="A38" s="146"/>
      <c r="B38" s="101"/>
      <c r="C38" s="101"/>
      <c r="D38" s="101"/>
      <c r="E38" s="114"/>
      <c r="F38" s="102"/>
      <c r="G38" s="101"/>
      <c r="H38" s="153"/>
      <c r="I38" s="21"/>
      <c r="J38" s="22"/>
      <c r="K38" s="17"/>
      <c r="L38" s="17"/>
      <c r="M38" s="17"/>
      <c r="N38" s="17"/>
      <c r="O38" s="17"/>
      <c r="P38" s="17"/>
      <c r="Q38" s="17"/>
      <c r="R38" s="17"/>
      <c r="S38" s="17"/>
      <c r="T38" s="17"/>
      <c r="U38" s="17"/>
      <c r="V38" s="17"/>
      <c r="W38" s="17"/>
      <c r="X38" s="17"/>
      <c r="Y38" s="17"/>
      <c r="Z38" s="17"/>
    </row>
    <row r="39" spans="1:26" s="1" customFormat="1" x14ac:dyDescent="0.2">
      <c r="A39" s="334" t="s">
        <v>588</v>
      </c>
      <c r="B39" s="335"/>
      <c r="C39" s="335"/>
      <c r="D39" s="335"/>
      <c r="E39" s="159"/>
      <c r="F39" s="12" t="e">
        <f>VLOOKUP($A$5,'Source Data'!A2:T137,19,FALSE)</f>
        <v>#N/A</v>
      </c>
      <c r="G39" s="103"/>
      <c r="H39" s="131"/>
      <c r="I39" s="20"/>
      <c r="J39" s="20"/>
      <c r="K39" s="17"/>
      <c r="L39" s="17"/>
      <c r="M39" s="17"/>
      <c r="N39" s="17"/>
      <c r="O39" s="17"/>
      <c r="P39" s="17"/>
      <c r="Q39" s="17"/>
      <c r="R39" s="17"/>
      <c r="S39" s="17"/>
      <c r="T39" s="17"/>
      <c r="U39" s="17"/>
      <c r="V39" s="17"/>
      <c r="W39" s="17"/>
      <c r="X39" s="17"/>
      <c r="Y39" s="17"/>
      <c r="Z39" s="17"/>
    </row>
    <row r="40" spans="1:26" s="1" customFormat="1" ht="6.95" customHeight="1" thickBot="1" x14ac:dyDescent="0.25">
      <c r="A40" s="146"/>
      <c r="B40" s="101"/>
      <c r="C40" s="101"/>
      <c r="D40" s="101"/>
      <c r="E40" s="114"/>
      <c r="F40" s="107"/>
      <c r="G40" s="101"/>
      <c r="H40" s="154"/>
      <c r="I40" s="20"/>
      <c r="J40" s="20"/>
      <c r="K40" s="17"/>
      <c r="L40" s="17"/>
      <c r="M40" s="17"/>
      <c r="N40" s="17"/>
      <c r="O40" s="17"/>
      <c r="P40" s="17"/>
      <c r="Q40" s="17"/>
      <c r="R40" s="17"/>
      <c r="S40" s="17"/>
      <c r="T40" s="17"/>
      <c r="U40" s="17"/>
      <c r="V40" s="17"/>
      <c r="W40" s="17"/>
      <c r="X40" s="17"/>
      <c r="Y40" s="17"/>
      <c r="Z40" s="17"/>
    </row>
    <row r="41" spans="1:26" s="1" customFormat="1" ht="16.5" thickBot="1" x14ac:dyDescent="0.3">
      <c r="A41" s="152" t="s">
        <v>3</v>
      </c>
      <c r="B41" s="112"/>
      <c r="C41" s="101"/>
      <c r="D41" s="101"/>
      <c r="E41" s="114"/>
      <c r="F41" s="101"/>
      <c r="G41" s="108"/>
      <c r="H41" s="26" t="str">
        <f>IF(ISNUMBER(F63),(ROUND(F39/$F$63,0)),"Enter ADM in Cell F63")</f>
        <v>Enter ADM in Cell F63</v>
      </c>
      <c r="I41" s="20"/>
      <c r="J41" s="20"/>
      <c r="K41" s="17"/>
      <c r="L41" s="17"/>
      <c r="M41" s="17"/>
      <c r="N41" s="17"/>
      <c r="O41" s="17"/>
      <c r="P41" s="17"/>
      <c r="Q41" s="17"/>
      <c r="R41" s="17"/>
      <c r="S41" s="17"/>
      <c r="T41" s="17"/>
      <c r="U41" s="17"/>
      <c r="V41" s="17"/>
      <c r="W41" s="17"/>
      <c r="X41" s="17"/>
      <c r="Y41" s="17"/>
      <c r="Z41" s="17"/>
    </row>
    <row r="42" spans="1:26" s="1" customFormat="1" ht="21.95" customHeight="1" x14ac:dyDescent="0.2">
      <c r="A42" s="146"/>
      <c r="B42" s="101"/>
      <c r="C42" s="101"/>
      <c r="D42" s="101"/>
      <c r="E42" s="114"/>
      <c r="F42" s="102"/>
      <c r="G42" s="101"/>
      <c r="H42" s="153"/>
      <c r="I42" s="20"/>
      <c r="J42" s="20"/>
      <c r="K42" s="17"/>
      <c r="L42" s="17"/>
      <c r="M42" s="17"/>
      <c r="N42" s="17"/>
      <c r="O42" s="17"/>
      <c r="P42" s="17"/>
      <c r="Q42" s="17"/>
      <c r="R42" s="17"/>
      <c r="S42" s="17"/>
      <c r="T42" s="17"/>
      <c r="U42" s="17"/>
      <c r="V42" s="17"/>
      <c r="W42" s="17"/>
      <c r="X42" s="17"/>
      <c r="Y42" s="17"/>
      <c r="Z42" s="17"/>
    </row>
    <row r="43" spans="1:26" s="1" customFormat="1" x14ac:dyDescent="0.2">
      <c r="A43" s="334" t="s">
        <v>648</v>
      </c>
      <c r="B43" s="335"/>
      <c r="C43" s="335"/>
      <c r="D43" s="101"/>
      <c r="E43" s="113"/>
      <c r="F43" s="12"/>
      <c r="G43" s="103"/>
      <c r="H43" s="131"/>
      <c r="I43" s="20"/>
      <c r="J43" s="20"/>
      <c r="K43" s="17"/>
      <c r="L43" s="17"/>
      <c r="M43" s="17"/>
      <c r="N43" s="17"/>
      <c r="O43" s="17"/>
      <c r="P43" s="17"/>
      <c r="Q43" s="17"/>
      <c r="R43" s="17"/>
      <c r="S43" s="17"/>
      <c r="T43" s="17"/>
      <c r="U43" s="17"/>
      <c r="V43" s="17"/>
      <c r="W43" s="17"/>
      <c r="X43" s="17"/>
      <c r="Y43" s="17"/>
      <c r="Z43" s="17"/>
    </row>
    <row r="44" spans="1:26" s="1" customFormat="1" ht="6.95" customHeight="1" x14ac:dyDescent="0.2">
      <c r="A44" s="264"/>
      <c r="B44" s="255"/>
      <c r="C44" s="255"/>
      <c r="D44" s="255"/>
      <c r="E44" s="255"/>
      <c r="F44" s="124"/>
      <c r="G44" s="255"/>
      <c r="H44" s="265"/>
      <c r="I44" s="20"/>
      <c r="J44" s="20"/>
      <c r="K44" s="17"/>
      <c r="L44" s="17"/>
      <c r="M44" s="17"/>
      <c r="N44" s="17"/>
      <c r="O44" s="17"/>
      <c r="P44" s="17"/>
      <c r="Q44" s="17"/>
      <c r="R44" s="17"/>
      <c r="S44" s="17"/>
      <c r="T44" s="17"/>
      <c r="U44" s="17"/>
      <c r="V44" s="17"/>
      <c r="W44" s="17"/>
      <c r="X44" s="17"/>
      <c r="Y44" s="17"/>
      <c r="Z44" s="17"/>
    </row>
    <row r="45" spans="1:26" s="1" customFormat="1" x14ac:dyDescent="0.2">
      <c r="A45" s="141" t="s">
        <v>4</v>
      </c>
      <c r="B45" s="101"/>
      <c r="C45" s="255"/>
      <c r="D45" s="255"/>
      <c r="E45" s="266"/>
      <c r="F45" s="12"/>
      <c r="G45" s="267"/>
      <c r="H45" s="265"/>
      <c r="I45" s="20"/>
      <c r="J45" s="20"/>
      <c r="K45" s="17"/>
      <c r="L45" s="17"/>
      <c r="M45" s="17"/>
      <c r="N45" s="17"/>
      <c r="O45" s="17"/>
      <c r="P45" s="17"/>
      <c r="Q45" s="17"/>
      <c r="R45" s="17"/>
      <c r="S45" s="17"/>
      <c r="T45" s="17"/>
      <c r="U45" s="17"/>
      <c r="V45" s="17"/>
      <c r="W45" s="17"/>
      <c r="X45" s="17"/>
      <c r="Y45" s="17"/>
      <c r="Z45" s="17"/>
    </row>
    <row r="46" spans="1:26" s="1" customFormat="1" ht="6.95" customHeight="1" x14ac:dyDescent="0.2">
      <c r="A46" s="141"/>
      <c r="B46" s="101"/>
      <c r="C46" s="255"/>
      <c r="D46" s="255"/>
      <c r="E46" s="255"/>
      <c r="F46" s="124"/>
      <c r="G46" s="255"/>
      <c r="H46" s="265"/>
      <c r="I46" s="20"/>
      <c r="J46" s="20"/>
      <c r="K46" s="17"/>
      <c r="L46" s="17"/>
      <c r="M46" s="17"/>
      <c r="N46" s="17"/>
      <c r="O46" s="17"/>
      <c r="P46" s="17"/>
      <c r="Q46" s="17"/>
      <c r="R46" s="17"/>
      <c r="S46" s="17"/>
      <c r="T46" s="17"/>
      <c r="U46" s="17"/>
      <c r="V46" s="17"/>
      <c r="W46" s="17"/>
      <c r="X46" s="17"/>
      <c r="Y46" s="17"/>
      <c r="Z46" s="17"/>
    </row>
    <row r="47" spans="1:26" s="1" customFormat="1" x14ac:dyDescent="0.2">
      <c r="A47" s="141" t="s">
        <v>5</v>
      </c>
      <c r="B47" s="101"/>
      <c r="C47" s="255"/>
      <c r="D47" s="255"/>
      <c r="E47" s="266"/>
      <c r="F47" s="12"/>
      <c r="G47" s="267"/>
      <c r="H47" s="265"/>
      <c r="I47" s="20"/>
      <c r="J47" s="20"/>
      <c r="K47" s="17"/>
      <c r="L47" s="17"/>
      <c r="M47" s="17"/>
      <c r="N47" s="17"/>
      <c r="O47" s="17"/>
      <c r="P47" s="17"/>
      <c r="Q47" s="17"/>
      <c r="R47" s="17"/>
      <c r="S47" s="17"/>
      <c r="T47" s="17"/>
      <c r="U47" s="17"/>
      <c r="V47" s="17"/>
      <c r="W47" s="17"/>
      <c r="X47" s="17"/>
      <c r="Y47" s="17"/>
      <c r="Z47" s="17"/>
    </row>
    <row r="48" spans="1:26" s="1" customFormat="1" ht="6.95" customHeight="1" x14ac:dyDescent="0.2">
      <c r="A48" s="141"/>
      <c r="B48" s="101"/>
      <c r="C48" s="255"/>
      <c r="D48" s="255"/>
      <c r="E48" s="255"/>
      <c r="F48" s="124"/>
      <c r="G48" s="255"/>
      <c r="H48" s="265"/>
      <c r="I48" s="20"/>
      <c r="J48" s="20"/>
      <c r="K48" s="17"/>
      <c r="L48" s="17"/>
      <c r="M48" s="17"/>
      <c r="N48" s="17"/>
      <c r="O48" s="17"/>
      <c r="P48" s="17"/>
      <c r="Q48" s="17"/>
      <c r="R48" s="17"/>
      <c r="S48" s="17"/>
      <c r="T48" s="17"/>
      <c r="U48" s="17"/>
      <c r="V48" s="17"/>
      <c r="W48" s="17"/>
      <c r="X48" s="17"/>
      <c r="Y48" s="17"/>
      <c r="Z48" s="17"/>
    </row>
    <row r="49" spans="1:26" s="1" customFormat="1" x14ac:dyDescent="0.2">
      <c r="A49" s="141" t="s">
        <v>593</v>
      </c>
      <c r="B49" s="101"/>
      <c r="C49" s="255"/>
      <c r="D49" s="255"/>
      <c r="E49" s="266"/>
      <c r="F49" s="12"/>
      <c r="G49" s="267"/>
      <c r="H49" s="265"/>
      <c r="I49" s="20"/>
      <c r="J49" s="20"/>
      <c r="K49" s="17"/>
      <c r="L49" s="17"/>
      <c r="M49" s="17"/>
      <c r="N49" s="17"/>
      <c r="O49" s="17"/>
      <c r="P49" s="17"/>
      <c r="Q49" s="17"/>
      <c r="R49" s="17"/>
      <c r="S49" s="17"/>
      <c r="T49" s="17"/>
      <c r="U49" s="17"/>
      <c r="V49" s="17"/>
      <c r="W49" s="17"/>
      <c r="X49" s="17"/>
      <c r="Y49" s="17"/>
      <c r="Z49" s="17"/>
    </row>
    <row r="50" spans="1:26" s="1" customFormat="1" ht="6.95" customHeight="1" x14ac:dyDescent="0.2">
      <c r="A50" s="146"/>
      <c r="B50" s="101"/>
      <c r="C50" s="255"/>
      <c r="D50" s="255"/>
      <c r="E50" s="255"/>
      <c r="F50" s="268"/>
      <c r="G50" s="255"/>
      <c r="H50" s="265"/>
      <c r="I50" s="21"/>
      <c r="J50" s="22"/>
      <c r="K50" s="17"/>
      <c r="L50" s="17"/>
      <c r="M50" s="17"/>
      <c r="N50" s="17"/>
      <c r="O50" s="17"/>
      <c r="P50" s="17"/>
      <c r="Q50" s="17"/>
      <c r="R50" s="17"/>
      <c r="S50" s="17"/>
      <c r="T50" s="17"/>
      <c r="U50" s="17"/>
      <c r="V50" s="17"/>
      <c r="W50" s="17"/>
      <c r="X50" s="17"/>
      <c r="Y50" s="17"/>
      <c r="Z50" s="17"/>
    </row>
    <row r="51" spans="1:26" s="1" customFormat="1" x14ac:dyDescent="0.2">
      <c r="A51" s="144" t="s">
        <v>429</v>
      </c>
      <c r="B51" s="101"/>
      <c r="C51" s="255"/>
      <c r="D51" s="255"/>
      <c r="E51" s="266"/>
      <c r="F51" s="160">
        <f>F43+F45-F47-F49</f>
        <v>0</v>
      </c>
      <c r="G51" s="267"/>
      <c r="H51" s="265"/>
      <c r="I51" s="20"/>
      <c r="J51" s="20"/>
      <c r="K51" s="17"/>
      <c r="L51" s="17"/>
      <c r="M51" s="17"/>
      <c r="N51" s="17"/>
      <c r="O51" s="17"/>
      <c r="P51" s="17"/>
      <c r="Q51" s="17"/>
      <c r="R51" s="17"/>
      <c r="S51" s="17"/>
      <c r="T51" s="17"/>
      <c r="U51" s="17"/>
      <c r="V51" s="17"/>
      <c r="W51" s="17"/>
      <c r="X51" s="17"/>
      <c r="Y51" s="17"/>
      <c r="Z51" s="17"/>
    </row>
    <row r="52" spans="1:26" s="1" customFormat="1" ht="6.95" customHeight="1" thickBot="1" x14ac:dyDescent="0.25">
      <c r="A52" s="146"/>
      <c r="B52" s="101"/>
      <c r="C52" s="255"/>
      <c r="D52" s="255"/>
      <c r="E52" s="255"/>
      <c r="F52" s="269"/>
      <c r="G52" s="255"/>
      <c r="H52" s="270"/>
      <c r="I52" s="20"/>
      <c r="J52" s="20"/>
      <c r="K52" s="17"/>
      <c r="L52" s="17"/>
      <c r="M52" s="17"/>
      <c r="N52" s="17"/>
      <c r="O52" s="17"/>
      <c r="P52" s="17"/>
      <c r="Q52" s="17"/>
      <c r="R52" s="17"/>
      <c r="S52" s="17"/>
      <c r="T52" s="17"/>
      <c r="U52" s="17"/>
      <c r="V52" s="17"/>
      <c r="W52" s="17"/>
      <c r="X52" s="17"/>
      <c r="Y52" s="17"/>
      <c r="Z52" s="17"/>
    </row>
    <row r="53" spans="1:26" s="1" customFormat="1" ht="16.5" thickBot="1" x14ac:dyDescent="0.3">
      <c r="A53" s="152" t="s">
        <v>428</v>
      </c>
      <c r="B53" s="112"/>
      <c r="C53" s="255"/>
      <c r="D53" s="255"/>
      <c r="E53" s="255"/>
      <c r="F53" s="255"/>
      <c r="G53" s="266"/>
      <c r="H53" s="26" t="str">
        <f>IF(ISNUMBER(F63),(ROUND(F51/$F$63,0)),"Enter ADM in Cell F63")</f>
        <v>Enter ADM in Cell F63</v>
      </c>
      <c r="I53" s="20"/>
      <c r="J53" s="20"/>
      <c r="K53" s="17"/>
      <c r="L53" s="17"/>
      <c r="M53" s="17"/>
      <c r="N53" s="17"/>
      <c r="O53" s="17"/>
      <c r="P53" s="17"/>
      <c r="Q53" s="17"/>
      <c r="R53" s="17"/>
      <c r="S53" s="17"/>
      <c r="T53" s="17"/>
      <c r="U53" s="17"/>
      <c r="V53" s="17"/>
      <c r="W53" s="17"/>
      <c r="X53" s="17"/>
      <c r="Y53" s="17"/>
      <c r="Z53" s="17"/>
    </row>
    <row r="54" spans="1:26" s="1" customFormat="1" ht="21.95" customHeight="1" x14ac:dyDescent="0.2">
      <c r="A54" s="264"/>
      <c r="B54" s="255"/>
      <c r="C54" s="255"/>
      <c r="D54" s="255"/>
      <c r="E54" s="255"/>
      <c r="F54" s="271"/>
      <c r="G54" s="255"/>
      <c r="H54" s="272"/>
      <c r="I54" s="21"/>
      <c r="J54" s="22"/>
      <c r="K54" s="17"/>
      <c r="L54" s="17"/>
      <c r="M54" s="17"/>
      <c r="N54" s="17"/>
      <c r="O54" s="17"/>
      <c r="P54" s="17"/>
      <c r="Q54" s="17"/>
      <c r="R54" s="17"/>
      <c r="S54" s="17"/>
      <c r="T54" s="17"/>
      <c r="U54" s="17"/>
      <c r="V54" s="17"/>
      <c r="W54" s="17"/>
      <c r="X54" s="17"/>
      <c r="Y54" s="17"/>
      <c r="Z54" s="17"/>
    </row>
    <row r="55" spans="1:26" s="1" customFormat="1" x14ac:dyDescent="0.2">
      <c r="A55" s="146" t="s">
        <v>279</v>
      </c>
      <c r="B55" s="255"/>
      <c r="C55" s="255"/>
      <c r="D55" s="255"/>
      <c r="E55" s="266"/>
      <c r="F55" s="160" t="e">
        <f>H18-F35-F39-F51</f>
        <v>#N/A</v>
      </c>
      <c r="G55" s="267"/>
      <c r="H55" s="265"/>
      <c r="I55" s="20"/>
      <c r="J55" s="20"/>
      <c r="K55" s="17"/>
      <c r="L55" s="17"/>
      <c r="M55" s="17"/>
      <c r="N55" s="17"/>
      <c r="O55" s="17"/>
      <c r="P55" s="17"/>
      <c r="Q55" s="17"/>
      <c r="R55" s="17"/>
      <c r="S55" s="17"/>
      <c r="T55" s="17"/>
      <c r="U55" s="17"/>
      <c r="V55" s="17"/>
      <c r="W55" s="17"/>
      <c r="X55" s="17"/>
      <c r="Y55" s="17"/>
      <c r="Z55" s="17"/>
    </row>
    <row r="56" spans="1:26" s="1" customFormat="1" ht="6.95" customHeight="1" thickBot="1" x14ac:dyDescent="0.25">
      <c r="A56" s="264"/>
      <c r="B56" s="255"/>
      <c r="C56" s="255"/>
      <c r="D56" s="255"/>
      <c r="E56" s="255"/>
      <c r="F56" s="269"/>
      <c r="G56" s="255"/>
      <c r="H56" s="270"/>
      <c r="I56" s="20"/>
      <c r="J56" s="20"/>
      <c r="K56" s="17"/>
      <c r="L56" s="17"/>
      <c r="M56" s="17"/>
      <c r="N56" s="17"/>
      <c r="O56" s="17"/>
      <c r="P56" s="17"/>
      <c r="Q56" s="17"/>
      <c r="R56" s="17"/>
      <c r="S56" s="17"/>
      <c r="T56" s="17"/>
      <c r="U56" s="17"/>
      <c r="V56" s="17"/>
      <c r="W56" s="17"/>
      <c r="X56" s="17"/>
      <c r="Y56" s="17"/>
      <c r="Z56" s="17"/>
    </row>
    <row r="57" spans="1:26" s="1" customFormat="1" ht="16.5" thickBot="1" x14ac:dyDescent="0.3">
      <c r="A57" s="152" t="s">
        <v>137</v>
      </c>
      <c r="B57" s="112"/>
      <c r="C57" s="255"/>
      <c r="D57" s="255"/>
      <c r="E57" s="255"/>
      <c r="F57" s="255"/>
      <c r="G57" s="266"/>
      <c r="H57" s="26" t="str">
        <f>IF(ISNUMBER(F63),(ROUND(F55/$F$63,0)), "Enter ADM in Cell F63")</f>
        <v>Enter ADM in Cell F63</v>
      </c>
      <c r="I57" s="20"/>
      <c r="J57" s="20"/>
      <c r="K57" s="17"/>
      <c r="L57" s="17"/>
      <c r="M57" s="17"/>
      <c r="N57" s="17"/>
      <c r="O57" s="17"/>
      <c r="P57" s="17"/>
      <c r="Q57" s="17"/>
      <c r="R57" s="17"/>
      <c r="S57" s="17"/>
      <c r="T57" s="17"/>
      <c r="U57" s="17"/>
      <c r="V57" s="17"/>
      <c r="W57" s="17"/>
      <c r="X57" s="17"/>
      <c r="Y57" s="17"/>
      <c r="Z57" s="17"/>
    </row>
    <row r="58" spans="1:26" s="1" customFormat="1" ht="21.95" customHeight="1" x14ac:dyDescent="0.2">
      <c r="A58" s="264"/>
      <c r="B58" s="255"/>
      <c r="C58" s="255"/>
      <c r="D58" s="255"/>
      <c r="E58" s="255"/>
      <c r="F58" s="271"/>
      <c r="G58" s="255"/>
      <c r="H58" s="272"/>
      <c r="I58" s="21"/>
      <c r="J58" s="22"/>
      <c r="K58" s="17"/>
      <c r="L58" s="17"/>
      <c r="M58" s="17"/>
      <c r="N58" s="17"/>
      <c r="O58" s="17"/>
      <c r="P58" s="17"/>
      <c r="Q58" s="17"/>
      <c r="R58" s="17"/>
      <c r="S58" s="17"/>
      <c r="T58" s="17"/>
      <c r="U58" s="17"/>
      <c r="V58" s="17"/>
      <c r="W58" s="17"/>
      <c r="X58" s="17"/>
      <c r="Y58" s="17"/>
      <c r="Z58" s="17"/>
    </row>
    <row r="59" spans="1:26" s="1" customFormat="1" x14ac:dyDescent="0.2">
      <c r="A59" s="146" t="s">
        <v>6</v>
      </c>
      <c r="B59" s="255"/>
      <c r="C59" s="255"/>
      <c r="D59" s="255"/>
      <c r="E59" s="266"/>
      <c r="F59" s="161">
        <f>H18</f>
        <v>0</v>
      </c>
      <c r="G59" s="267"/>
      <c r="H59" s="265"/>
      <c r="I59" s="20"/>
      <c r="J59" s="20"/>
      <c r="K59" s="17"/>
      <c r="L59" s="17"/>
      <c r="M59" s="17"/>
      <c r="N59" s="17"/>
      <c r="O59" s="17"/>
      <c r="P59" s="17"/>
      <c r="Q59" s="17"/>
      <c r="R59" s="17"/>
      <c r="S59" s="17"/>
      <c r="T59" s="17"/>
      <c r="U59" s="17"/>
      <c r="V59" s="17"/>
      <c r="W59" s="17"/>
      <c r="X59" s="17"/>
      <c r="Y59" s="17"/>
      <c r="Z59" s="17"/>
    </row>
    <row r="60" spans="1:26" s="1" customFormat="1" ht="6.95" customHeight="1" thickBot="1" x14ac:dyDescent="0.25">
      <c r="A60" s="264"/>
      <c r="B60" s="255"/>
      <c r="C60" s="255"/>
      <c r="D60" s="255"/>
      <c r="E60" s="255"/>
      <c r="F60" s="269"/>
      <c r="G60" s="255"/>
      <c r="H60" s="270"/>
      <c r="I60" s="20"/>
      <c r="J60" s="20"/>
      <c r="K60" s="17"/>
      <c r="L60" s="17"/>
      <c r="M60" s="17"/>
      <c r="N60" s="17"/>
      <c r="O60" s="17"/>
      <c r="P60" s="17"/>
      <c r="Q60" s="17"/>
      <c r="R60" s="17"/>
      <c r="S60" s="17"/>
      <c r="T60" s="17"/>
      <c r="U60" s="17"/>
      <c r="V60" s="17"/>
      <c r="W60" s="17"/>
      <c r="X60" s="17"/>
      <c r="Y60" s="17"/>
      <c r="Z60" s="17"/>
    </row>
    <row r="61" spans="1:26" s="1" customFormat="1" ht="16.5" thickBot="1" x14ac:dyDescent="0.3">
      <c r="A61" s="152" t="s">
        <v>7</v>
      </c>
      <c r="B61" s="112"/>
      <c r="C61" s="255"/>
      <c r="D61" s="255"/>
      <c r="E61" s="255"/>
      <c r="F61" s="255"/>
      <c r="G61" s="266"/>
      <c r="H61" s="26" t="str">
        <f>IF(ISNUMBER(F63),(ROUND(F59/$F$63,0)),"Enter ADM in Cell F63")</f>
        <v>Enter ADM in Cell F63</v>
      </c>
      <c r="I61" s="20"/>
      <c r="J61" s="20"/>
      <c r="K61" s="17"/>
      <c r="L61" s="17"/>
      <c r="M61" s="17"/>
      <c r="N61" s="17"/>
      <c r="O61" s="17"/>
      <c r="P61" s="17"/>
      <c r="Q61" s="17"/>
      <c r="R61" s="17"/>
      <c r="S61" s="17"/>
      <c r="T61" s="17"/>
      <c r="U61" s="17"/>
      <c r="V61" s="17"/>
      <c r="W61" s="17"/>
      <c r="X61" s="17"/>
      <c r="Y61" s="17"/>
      <c r="Z61" s="17"/>
    </row>
    <row r="62" spans="1:26" s="1" customFormat="1" ht="21.95" customHeight="1" x14ac:dyDescent="0.2">
      <c r="A62" s="264"/>
      <c r="B62" s="255"/>
      <c r="C62" s="255"/>
      <c r="D62" s="255"/>
      <c r="E62" s="255"/>
      <c r="F62" s="271"/>
      <c r="G62" s="255"/>
      <c r="H62" s="272"/>
      <c r="I62" s="20"/>
      <c r="J62" s="20"/>
      <c r="K62" s="17"/>
      <c r="L62" s="17"/>
      <c r="M62" s="17"/>
      <c r="N62" s="17"/>
      <c r="O62" s="17"/>
      <c r="P62" s="17"/>
      <c r="Q62" s="17"/>
      <c r="R62" s="17"/>
      <c r="S62" s="17"/>
      <c r="T62" s="17"/>
      <c r="U62" s="17"/>
      <c r="V62" s="17"/>
      <c r="W62" s="17"/>
      <c r="X62" s="17"/>
      <c r="Y62" s="17"/>
      <c r="Z62" s="17"/>
    </row>
    <row r="63" spans="1:26" s="1" customFormat="1" ht="15.75" x14ac:dyDescent="0.25">
      <c r="A63" s="254" t="s">
        <v>634</v>
      </c>
      <c r="B63" s="255"/>
      <c r="C63" s="255"/>
      <c r="D63" s="255"/>
      <c r="E63" s="266"/>
      <c r="F63" s="284"/>
      <c r="G63" s="267"/>
      <c r="H63" s="131"/>
      <c r="I63" s="20"/>
      <c r="J63" s="20"/>
      <c r="K63" s="17"/>
      <c r="L63" s="17"/>
      <c r="M63" s="17"/>
      <c r="N63" s="17"/>
      <c r="O63" s="17"/>
      <c r="P63" s="17"/>
      <c r="Q63" s="17"/>
      <c r="R63" s="17"/>
      <c r="S63" s="17"/>
      <c r="T63" s="17"/>
      <c r="U63" s="17"/>
      <c r="V63" s="17"/>
      <c r="W63" s="17"/>
      <c r="X63" s="17"/>
      <c r="Y63" s="17"/>
      <c r="Z63" s="17"/>
    </row>
    <row r="64" spans="1:26" s="1" customFormat="1" ht="15.75" thickBot="1" x14ac:dyDescent="0.25">
      <c r="A64" s="273"/>
      <c r="B64" s="274"/>
      <c r="C64" s="274"/>
      <c r="D64" s="274"/>
      <c r="E64" s="274"/>
      <c r="F64" s="275"/>
      <c r="G64" s="274"/>
      <c r="H64" s="276"/>
      <c r="I64" s="20"/>
      <c r="J64" s="20"/>
      <c r="K64" s="17"/>
      <c r="L64" s="17"/>
      <c r="M64" s="17"/>
      <c r="N64" s="17"/>
      <c r="O64" s="17"/>
      <c r="P64" s="17"/>
      <c r="Q64" s="17"/>
      <c r="R64" s="17"/>
      <c r="S64" s="17"/>
      <c r="T64" s="17"/>
      <c r="U64" s="17"/>
      <c r="V64" s="17"/>
      <c r="W64" s="17"/>
      <c r="X64" s="17"/>
      <c r="Y64" s="17"/>
      <c r="Z64" s="17"/>
    </row>
    <row r="65" spans="1:26" s="1" customFormat="1" hidden="1" x14ac:dyDescent="0.2">
      <c r="A65" s="277"/>
      <c r="B65" s="277"/>
      <c r="C65" s="277"/>
      <c r="D65" s="277"/>
      <c r="E65" s="277"/>
      <c r="F65" s="277"/>
      <c r="G65" s="277"/>
      <c r="H65" s="277"/>
      <c r="I65" s="17"/>
      <c r="J65" s="17"/>
      <c r="K65" s="17"/>
      <c r="L65" s="17"/>
      <c r="M65" s="17"/>
      <c r="N65" s="17"/>
      <c r="O65" s="17"/>
      <c r="P65" s="17"/>
      <c r="Q65" s="17"/>
      <c r="R65" s="17"/>
      <c r="S65" s="17"/>
      <c r="T65" s="17"/>
      <c r="U65" s="17"/>
      <c r="V65" s="17"/>
      <c r="W65" s="17"/>
      <c r="X65" s="17"/>
      <c r="Y65" s="17"/>
      <c r="Z65" s="17"/>
    </row>
    <row r="66" spans="1:26" s="1" customFormat="1" ht="15" customHeight="1" x14ac:dyDescent="0.2">
      <c r="A66" s="336" t="s">
        <v>606</v>
      </c>
      <c r="B66" s="337"/>
      <c r="C66" s="337"/>
      <c r="D66" s="337"/>
      <c r="E66" s="337"/>
      <c r="F66" s="337"/>
      <c r="G66" s="337"/>
      <c r="H66" s="338"/>
      <c r="I66" s="17"/>
      <c r="J66" s="17"/>
      <c r="K66" s="17"/>
      <c r="L66" s="17"/>
      <c r="M66" s="17"/>
      <c r="N66" s="17"/>
      <c r="O66" s="17"/>
      <c r="P66" s="17"/>
      <c r="Q66" s="17"/>
      <c r="R66" s="17"/>
      <c r="S66" s="17"/>
      <c r="T66" s="17"/>
      <c r="U66" s="17"/>
      <c r="V66" s="17"/>
      <c r="W66" s="17"/>
      <c r="X66" s="17"/>
      <c r="Y66" s="17"/>
      <c r="Z66" s="17"/>
    </row>
    <row r="67" spans="1:26" s="1" customFormat="1" ht="171.75" customHeight="1" x14ac:dyDescent="0.2">
      <c r="A67" s="339" t="s">
        <v>632</v>
      </c>
      <c r="B67" s="340"/>
      <c r="C67" s="340"/>
      <c r="D67" s="340"/>
      <c r="E67" s="340"/>
      <c r="F67" s="340"/>
      <c r="G67" s="340"/>
      <c r="H67" s="341"/>
      <c r="I67" s="17"/>
      <c r="J67" s="17"/>
      <c r="K67" s="17"/>
      <c r="L67" s="17"/>
      <c r="M67" s="17"/>
      <c r="N67" s="17"/>
      <c r="O67" s="17"/>
      <c r="P67" s="17"/>
      <c r="Q67" s="17"/>
      <c r="R67" s="17"/>
      <c r="S67" s="17"/>
      <c r="T67" s="17"/>
      <c r="U67" s="17"/>
      <c r="V67" s="17"/>
      <c r="W67" s="17"/>
      <c r="X67" s="17"/>
      <c r="Y67" s="17"/>
      <c r="Z67" s="17"/>
    </row>
    <row r="68" spans="1:26" s="1" customFormat="1" ht="235.5" customHeight="1" x14ac:dyDescent="0.2">
      <c r="A68" s="339" t="s">
        <v>640</v>
      </c>
      <c r="B68" s="340"/>
      <c r="C68" s="340"/>
      <c r="D68" s="340"/>
      <c r="E68" s="340"/>
      <c r="F68" s="340"/>
      <c r="G68" s="340"/>
      <c r="H68" s="341"/>
      <c r="I68" s="17"/>
      <c r="J68" s="17"/>
      <c r="K68" s="17"/>
      <c r="L68" s="17"/>
      <c r="M68" s="17"/>
      <c r="N68" s="17"/>
      <c r="O68" s="17"/>
      <c r="P68" s="17"/>
      <c r="Q68" s="17"/>
      <c r="R68" s="17"/>
      <c r="S68" s="17"/>
      <c r="T68" s="17"/>
      <c r="U68" s="17"/>
      <c r="V68" s="17"/>
      <c r="W68" s="17"/>
      <c r="X68" s="17"/>
      <c r="Y68" s="17"/>
      <c r="Z68" s="17"/>
    </row>
    <row r="69" spans="1:26" s="1" customFormat="1" ht="57.75" customHeight="1" thickBot="1" x14ac:dyDescent="0.25">
      <c r="A69" s="342" t="s">
        <v>649</v>
      </c>
      <c r="B69" s="343"/>
      <c r="C69" s="343"/>
      <c r="D69" s="343"/>
      <c r="E69" s="343"/>
      <c r="F69" s="343"/>
      <c r="G69" s="343"/>
      <c r="H69" s="344"/>
      <c r="I69" s="17"/>
      <c r="J69" s="17"/>
      <c r="K69" s="17"/>
      <c r="L69" s="17"/>
      <c r="M69" s="17"/>
      <c r="N69" s="17"/>
      <c r="O69" s="17"/>
      <c r="P69" s="17"/>
      <c r="Q69" s="17"/>
      <c r="R69" s="17"/>
      <c r="S69" s="17"/>
      <c r="T69" s="17"/>
      <c r="U69" s="17"/>
      <c r="V69" s="17"/>
      <c r="W69" s="17"/>
      <c r="X69" s="17"/>
      <c r="Y69" s="17"/>
      <c r="Z69" s="17"/>
    </row>
    <row r="70" spans="1:26" s="1" customFormat="1" x14ac:dyDescent="0.2">
      <c r="A70" s="249" t="s">
        <v>643</v>
      </c>
      <c r="B70" s="279"/>
      <c r="C70" s="279"/>
      <c r="D70" s="279"/>
      <c r="E70" s="279"/>
      <c r="F70" s="279"/>
      <c r="G70" s="279"/>
      <c r="H70" s="279"/>
      <c r="I70" s="17"/>
      <c r="J70" s="17"/>
      <c r="K70" s="17"/>
      <c r="L70" s="17"/>
      <c r="M70" s="17"/>
      <c r="N70" s="17"/>
      <c r="O70" s="17"/>
      <c r="P70" s="17"/>
      <c r="Q70" s="17"/>
      <c r="R70" s="17"/>
      <c r="S70" s="17"/>
      <c r="T70" s="17"/>
      <c r="U70" s="17"/>
      <c r="V70" s="17"/>
      <c r="W70" s="17"/>
      <c r="X70" s="17"/>
      <c r="Y70" s="17"/>
      <c r="Z70" s="17"/>
    </row>
    <row r="71" spans="1:26" s="1" customFormat="1" x14ac:dyDescent="0.2">
      <c r="A71" s="279"/>
      <c r="B71" s="279"/>
      <c r="C71" s="279"/>
      <c r="D71" s="279"/>
      <c r="E71" s="279"/>
      <c r="F71" s="279"/>
      <c r="G71" s="279"/>
      <c r="H71" s="279"/>
      <c r="I71" s="17"/>
      <c r="J71" s="17"/>
      <c r="K71" s="17"/>
      <c r="L71" s="17"/>
      <c r="M71" s="17"/>
      <c r="N71" s="17"/>
      <c r="O71" s="17"/>
      <c r="P71" s="17"/>
      <c r="Q71" s="17"/>
      <c r="R71" s="17"/>
      <c r="S71" s="17"/>
      <c r="T71" s="17"/>
      <c r="U71" s="17"/>
      <c r="V71" s="17"/>
      <c r="W71" s="17"/>
      <c r="X71" s="17"/>
      <c r="Y71" s="17"/>
      <c r="Z71" s="17"/>
    </row>
    <row r="72" spans="1:26" s="1" customFormat="1" x14ac:dyDescent="0.2">
      <c r="A72" s="279"/>
      <c r="B72" s="279"/>
      <c r="C72" s="279"/>
      <c r="D72" s="279"/>
      <c r="E72" s="279"/>
      <c r="F72" s="279"/>
      <c r="G72" s="279"/>
      <c r="H72" s="279"/>
      <c r="I72" s="17"/>
      <c r="J72" s="17"/>
      <c r="K72" s="17"/>
      <c r="L72" s="17"/>
      <c r="M72" s="17"/>
      <c r="N72" s="17"/>
      <c r="O72" s="17"/>
      <c r="P72" s="17"/>
      <c r="Q72" s="17"/>
      <c r="R72" s="17"/>
      <c r="S72" s="17"/>
      <c r="T72" s="17"/>
      <c r="U72" s="17"/>
      <c r="V72" s="17"/>
      <c r="W72" s="17"/>
      <c r="X72" s="17"/>
      <c r="Y72" s="17"/>
      <c r="Z72" s="17"/>
    </row>
    <row r="73" spans="1:26" s="1" customFormat="1" x14ac:dyDescent="0.2">
      <c r="A73" s="279"/>
      <c r="B73" s="279"/>
      <c r="C73" s="279"/>
      <c r="D73" s="279"/>
      <c r="E73" s="279"/>
      <c r="F73" s="279"/>
      <c r="G73" s="279"/>
      <c r="H73" s="279"/>
      <c r="I73" s="17"/>
      <c r="J73" s="17"/>
      <c r="K73" s="17"/>
      <c r="L73" s="17"/>
      <c r="M73" s="17"/>
      <c r="N73" s="17"/>
      <c r="O73" s="17"/>
      <c r="P73" s="17"/>
      <c r="Q73" s="17"/>
      <c r="R73" s="17"/>
      <c r="S73" s="17"/>
      <c r="T73" s="17"/>
      <c r="U73" s="17"/>
      <c r="V73" s="17"/>
      <c r="W73" s="17"/>
      <c r="X73" s="17"/>
      <c r="Y73" s="17"/>
      <c r="Z73" s="17"/>
    </row>
    <row r="74" spans="1:26" s="1" customFormat="1" x14ac:dyDescent="0.2">
      <c r="A74" s="279"/>
      <c r="B74" s="279"/>
      <c r="C74" s="279"/>
      <c r="D74" s="279"/>
      <c r="E74" s="279"/>
      <c r="F74" s="279"/>
      <c r="G74" s="279"/>
      <c r="H74" s="279"/>
      <c r="I74" s="17"/>
      <c r="J74" s="17"/>
      <c r="K74" s="17"/>
      <c r="L74" s="17"/>
      <c r="M74" s="17"/>
      <c r="N74" s="17"/>
      <c r="O74" s="17"/>
      <c r="P74" s="17"/>
      <c r="Q74" s="17"/>
      <c r="R74" s="17"/>
      <c r="S74" s="17"/>
      <c r="T74" s="17"/>
      <c r="U74" s="17"/>
      <c r="V74" s="17"/>
      <c r="W74" s="17"/>
      <c r="X74" s="17"/>
      <c r="Y74" s="17"/>
      <c r="Z74" s="17"/>
    </row>
    <row r="75" spans="1:26" s="1" customFormat="1" x14ac:dyDescent="0.2">
      <c r="A75" s="279"/>
      <c r="B75" s="279"/>
      <c r="C75" s="279"/>
      <c r="D75" s="279"/>
      <c r="E75" s="279"/>
      <c r="F75" s="279"/>
      <c r="G75" s="279"/>
      <c r="H75" s="279"/>
      <c r="I75" s="17"/>
      <c r="J75" s="17"/>
      <c r="K75" s="17"/>
      <c r="L75" s="17"/>
      <c r="M75" s="17"/>
      <c r="N75" s="17"/>
      <c r="O75" s="17"/>
      <c r="P75" s="17"/>
      <c r="Q75" s="17"/>
      <c r="R75" s="17"/>
      <c r="S75" s="17"/>
      <c r="T75" s="17"/>
      <c r="U75" s="17"/>
      <c r="V75" s="17"/>
      <c r="W75" s="17"/>
      <c r="X75" s="17"/>
      <c r="Y75" s="17"/>
      <c r="Z75" s="17"/>
    </row>
    <row r="76" spans="1:26" s="1" customFormat="1" x14ac:dyDescent="0.2">
      <c r="A76" s="279"/>
      <c r="B76" s="279"/>
      <c r="C76" s="279"/>
      <c r="D76" s="279"/>
      <c r="E76" s="279"/>
      <c r="F76" s="279"/>
      <c r="G76" s="279"/>
      <c r="H76" s="279"/>
      <c r="I76" s="17"/>
      <c r="J76" s="17"/>
      <c r="K76" s="17"/>
      <c r="L76" s="17"/>
      <c r="M76" s="17"/>
      <c r="N76" s="17"/>
      <c r="O76" s="17"/>
      <c r="P76" s="17"/>
      <c r="Q76" s="17"/>
      <c r="R76" s="17"/>
      <c r="S76" s="17"/>
      <c r="T76" s="17"/>
      <c r="U76" s="17"/>
      <c r="V76" s="17"/>
      <c r="W76" s="17"/>
      <c r="X76" s="17"/>
      <c r="Y76" s="17"/>
      <c r="Z76" s="17"/>
    </row>
    <row r="77" spans="1:26" s="1" customFormat="1" x14ac:dyDescent="0.2">
      <c r="A77" s="279"/>
      <c r="B77" s="279"/>
      <c r="C77" s="279"/>
      <c r="D77" s="279"/>
      <c r="E77" s="279"/>
      <c r="F77" s="279"/>
      <c r="G77" s="279"/>
      <c r="H77" s="279"/>
      <c r="I77" s="17"/>
      <c r="J77" s="17"/>
      <c r="K77" s="17"/>
      <c r="L77" s="17"/>
      <c r="M77" s="17"/>
      <c r="N77" s="17"/>
      <c r="O77" s="17"/>
      <c r="P77" s="17"/>
      <c r="Q77" s="17"/>
      <c r="R77" s="17"/>
      <c r="S77" s="17"/>
      <c r="T77" s="17"/>
      <c r="U77" s="17"/>
      <c r="V77" s="17"/>
      <c r="W77" s="17"/>
      <c r="X77" s="17"/>
      <c r="Y77" s="17"/>
      <c r="Z77" s="17"/>
    </row>
    <row r="78" spans="1:26" s="1" customFormat="1" x14ac:dyDescent="0.2">
      <c r="A78" s="279"/>
      <c r="B78" s="279"/>
      <c r="C78" s="279"/>
      <c r="D78" s="279"/>
      <c r="E78" s="279"/>
      <c r="F78" s="279"/>
      <c r="G78" s="279"/>
      <c r="H78" s="279"/>
      <c r="I78" s="17"/>
      <c r="J78" s="17"/>
      <c r="K78" s="17"/>
      <c r="L78" s="17"/>
      <c r="M78" s="17"/>
      <c r="N78" s="17"/>
      <c r="O78" s="17"/>
      <c r="P78" s="17"/>
      <c r="Q78" s="17"/>
      <c r="R78" s="17"/>
      <c r="S78" s="17"/>
      <c r="T78" s="17"/>
      <c r="U78" s="17"/>
      <c r="V78" s="17"/>
      <c r="W78" s="17"/>
      <c r="X78" s="17"/>
      <c r="Y78" s="17"/>
      <c r="Z78" s="17"/>
    </row>
    <row r="79" spans="1:26" x14ac:dyDescent="0.2">
      <c r="A79" s="279"/>
      <c r="B79" s="279"/>
      <c r="C79" s="279"/>
      <c r="D79" s="279"/>
      <c r="E79" s="279"/>
      <c r="F79" s="279"/>
      <c r="G79" s="279"/>
      <c r="H79" s="279"/>
      <c r="I79" s="17"/>
      <c r="J79" s="17"/>
      <c r="K79" s="17"/>
      <c r="L79" s="17"/>
      <c r="M79" s="17"/>
      <c r="N79" s="17"/>
      <c r="O79" s="17"/>
      <c r="P79" s="17"/>
      <c r="Q79" s="17"/>
      <c r="R79" s="17"/>
      <c r="S79" s="17"/>
      <c r="T79" s="17"/>
      <c r="U79" s="17"/>
      <c r="V79" s="17"/>
      <c r="W79" s="17"/>
      <c r="X79" s="17"/>
      <c r="Y79" s="17"/>
      <c r="Z79" s="17"/>
    </row>
    <row r="80" spans="1:26" x14ac:dyDescent="0.2">
      <c r="A80" s="279"/>
      <c r="B80" s="279"/>
      <c r="C80" s="279"/>
      <c r="D80" s="279"/>
      <c r="E80" s="279"/>
      <c r="F80" s="279"/>
      <c r="G80" s="279"/>
      <c r="H80" s="279"/>
      <c r="I80" s="17"/>
      <c r="J80" s="17"/>
      <c r="K80" s="17"/>
      <c r="L80" s="17"/>
      <c r="M80" s="17"/>
      <c r="N80" s="17"/>
      <c r="O80" s="17"/>
      <c r="P80" s="17"/>
      <c r="Q80" s="17"/>
      <c r="R80" s="17"/>
      <c r="S80" s="17"/>
      <c r="T80" s="17"/>
      <c r="U80" s="17"/>
      <c r="V80" s="17"/>
      <c r="W80" s="17"/>
      <c r="X80" s="17"/>
      <c r="Y80" s="17"/>
      <c r="Z80" s="17"/>
    </row>
    <row r="81" spans="1:26" x14ac:dyDescent="0.2">
      <c r="A81" s="279"/>
      <c r="B81" s="279"/>
      <c r="C81" s="279"/>
      <c r="D81" s="279"/>
      <c r="E81" s="279"/>
      <c r="F81" s="279"/>
      <c r="G81" s="279"/>
      <c r="H81" s="279"/>
      <c r="I81" s="17"/>
      <c r="J81" s="17"/>
      <c r="K81" s="17"/>
      <c r="L81" s="17"/>
      <c r="M81" s="17"/>
      <c r="N81" s="17"/>
      <c r="O81" s="17"/>
      <c r="P81" s="17"/>
      <c r="Q81" s="17"/>
      <c r="R81" s="17"/>
      <c r="S81" s="17"/>
      <c r="T81" s="17"/>
      <c r="U81" s="17"/>
      <c r="V81" s="17"/>
      <c r="W81" s="17"/>
      <c r="X81" s="17"/>
      <c r="Y81" s="17"/>
      <c r="Z81" s="17"/>
    </row>
    <row r="82" spans="1:26" x14ac:dyDescent="0.2">
      <c r="A82" s="279"/>
      <c r="B82" s="279"/>
      <c r="C82" s="279"/>
      <c r="D82" s="279"/>
      <c r="E82" s="279"/>
      <c r="F82" s="279"/>
      <c r="G82" s="279"/>
      <c r="H82" s="279"/>
      <c r="I82" s="17"/>
      <c r="J82" s="17"/>
      <c r="K82" s="17"/>
      <c r="L82" s="17"/>
      <c r="M82" s="17"/>
      <c r="N82" s="17"/>
      <c r="O82" s="17"/>
      <c r="P82" s="17"/>
      <c r="Q82" s="17"/>
      <c r="R82" s="17"/>
      <c r="S82" s="17"/>
      <c r="T82" s="17"/>
      <c r="U82" s="17"/>
      <c r="V82" s="17"/>
      <c r="W82" s="17"/>
      <c r="X82" s="17"/>
      <c r="Y82" s="17"/>
      <c r="Z82" s="17"/>
    </row>
    <row r="83" spans="1:26" ht="52.5" customHeight="1" x14ac:dyDescent="0.2">
      <c r="A83" s="279"/>
      <c r="B83" s="279"/>
      <c r="C83" s="279"/>
      <c r="D83" s="279"/>
      <c r="E83" s="279"/>
      <c r="F83" s="279"/>
      <c r="G83" s="279"/>
      <c r="H83" s="279"/>
      <c r="I83" s="17"/>
      <c r="J83" s="17"/>
      <c r="K83" s="17"/>
      <c r="L83" s="17"/>
      <c r="M83" s="17"/>
      <c r="N83" s="17"/>
      <c r="O83" s="17"/>
      <c r="P83" s="17"/>
      <c r="Q83" s="17"/>
      <c r="R83" s="17"/>
      <c r="S83" s="17"/>
      <c r="T83" s="17"/>
      <c r="U83" s="17"/>
      <c r="V83" s="17"/>
      <c r="W83" s="17"/>
      <c r="X83" s="17"/>
      <c r="Y83" s="17"/>
      <c r="Z83" s="17"/>
    </row>
    <row r="84" spans="1:26" x14ac:dyDescent="0.2">
      <c r="A84" s="279"/>
      <c r="B84" s="279"/>
      <c r="C84" s="279"/>
      <c r="D84" s="279"/>
      <c r="E84" s="279"/>
      <c r="F84" s="279"/>
      <c r="G84" s="279"/>
      <c r="H84" s="279"/>
      <c r="I84" s="17"/>
      <c r="J84" s="17"/>
      <c r="K84" s="17"/>
      <c r="L84" s="17"/>
      <c r="M84" s="17"/>
      <c r="N84" s="17"/>
      <c r="O84" s="17"/>
      <c r="P84" s="17"/>
      <c r="Q84" s="17"/>
      <c r="R84" s="17"/>
      <c r="S84" s="17"/>
      <c r="T84" s="17"/>
      <c r="U84" s="17"/>
      <c r="V84" s="17"/>
      <c r="W84" s="17"/>
      <c r="X84" s="17"/>
      <c r="Y84" s="17"/>
      <c r="Z84" s="17"/>
    </row>
    <row r="85" spans="1:26" ht="31.5" customHeight="1" x14ac:dyDescent="0.2">
      <c r="A85" s="279"/>
      <c r="B85" s="279"/>
      <c r="C85" s="279"/>
      <c r="D85" s="279"/>
      <c r="E85" s="279"/>
      <c r="F85" s="279"/>
      <c r="G85" s="279"/>
      <c r="H85" s="279"/>
      <c r="I85" s="17"/>
      <c r="J85" s="17"/>
      <c r="K85" s="17"/>
      <c r="L85" s="17"/>
      <c r="M85" s="17"/>
      <c r="N85" s="17"/>
      <c r="O85" s="17"/>
      <c r="P85" s="17"/>
      <c r="Q85" s="17"/>
      <c r="R85" s="17"/>
      <c r="S85" s="17"/>
      <c r="T85" s="17"/>
      <c r="U85" s="17"/>
      <c r="V85" s="17"/>
      <c r="W85" s="17"/>
      <c r="X85" s="17"/>
      <c r="Y85" s="17"/>
      <c r="Z85" s="17"/>
    </row>
    <row r="86" spans="1:26" x14ac:dyDescent="0.2">
      <c r="A86" s="279"/>
      <c r="B86" s="279"/>
      <c r="C86" s="279"/>
      <c r="D86" s="279"/>
      <c r="E86" s="279"/>
      <c r="F86" s="279"/>
      <c r="G86" s="279"/>
      <c r="H86" s="279"/>
      <c r="I86" s="17"/>
      <c r="J86" s="17"/>
      <c r="K86" s="17"/>
      <c r="L86" s="17"/>
      <c r="M86" s="17"/>
      <c r="N86" s="17"/>
      <c r="O86" s="17"/>
      <c r="P86" s="17"/>
      <c r="Q86" s="17"/>
      <c r="R86" s="17"/>
      <c r="S86" s="17"/>
      <c r="T86" s="17"/>
      <c r="U86" s="17"/>
      <c r="V86" s="17"/>
      <c r="W86" s="17"/>
      <c r="X86" s="17"/>
      <c r="Y86" s="17"/>
      <c r="Z86" s="17"/>
    </row>
    <row r="87" spans="1:26" x14ac:dyDescent="0.2">
      <c r="A87" s="279"/>
      <c r="B87" s="279"/>
      <c r="C87" s="279"/>
      <c r="D87" s="279"/>
      <c r="E87" s="279"/>
      <c r="F87" s="279"/>
      <c r="G87" s="279"/>
      <c r="H87" s="279"/>
      <c r="I87" s="17"/>
      <c r="J87" s="17"/>
      <c r="K87" s="17"/>
      <c r="L87" s="17"/>
      <c r="M87" s="17"/>
      <c r="N87" s="17"/>
      <c r="O87" s="17"/>
      <c r="P87" s="17"/>
      <c r="Q87" s="17"/>
      <c r="R87" s="17"/>
      <c r="S87" s="17"/>
      <c r="T87" s="17"/>
      <c r="U87" s="17"/>
      <c r="V87" s="17"/>
      <c r="W87" s="17"/>
      <c r="X87" s="17"/>
      <c r="Y87" s="17"/>
      <c r="Z87" s="17"/>
    </row>
    <row r="88" spans="1:26" x14ac:dyDescent="0.2">
      <c r="A88" s="279"/>
      <c r="B88" s="279"/>
      <c r="C88" s="279"/>
      <c r="D88" s="279"/>
      <c r="E88" s="279"/>
      <c r="F88" s="279"/>
      <c r="G88" s="279"/>
      <c r="H88" s="279"/>
      <c r="I88" s="17"/>
      <c r="J88" s="17"/>
      <c r="K88" s="17"/>
      <c r="L88" s="17"/>
      <c r="M88" s="17"/>
      <c r="N88" s="17"/>
      <c r="O88" s="17"/>
      <c r="P88" s="17"/>
      <c r="Q88" s="17"/>
      <c r="R88" s="17"/>
      <c r="S88" s="17"/>
      <c r="T88" s="17"/>
      <c r="U88" s="17"/>
      <c r="V88" s="17"/>
      <c r="W88" s="17"/>
      <c r="X88" s="17"/>
      <c r="Y88" s="17"/>
      <c r="Z88" s="17"/>
    </row>
    <row r="89" spans="1:26" x14ac:dyDescent="0.2">
      <c r="A89" s="279"/>
      <c r="B89" s="279"/>
      <c r="C89" s="279"/>
      <c r="D89" s="279"/>
      <c r="E89" s="279"/>
      <c r="F89" s="279"/>
      <c r="G89" s="279"/>
      <c r="H89" s="279"/>
      <c r="I89" s="17"/>
      <c r="J89" s="17"/>
      <c r="K89" s="17"/>
      <c r="L89" s="17"/>
      <c r="M89" s="17"/>
      <c r="N89" s="17"/>
      <c r="O89" s="17"/>
      <c r="P89" s="17"/>
      <c r="Q89" s="17"/>
      <c r="R89" s="17"/>
      <c r="S89" s="17"/>
      <c r="T89" s="17"/>
      <c r="U89" s="17"/>
      <c r="V89" s="17"/>
      <c r="W89" s="17"/>
      <c r="X89" s="17"/>
      <c r="Y89" s="17"/>
      <c r="Z89" s="17"/>
    </row>
    <row r="92" spans="1:26" s="92" customFormat="1" ht="12.75" x14ac:dyDescent="0.2">
      <c r="A92" s="280"/>
      <c r="B92" s="280"/>
      <c r="C92" s="280"/>
      <c r="D92" s="280"/>
      <c r="E92" s="280"/>
      <c r="F92" s="280"/>
      <c r="G92" s="280"/>
      <c r="H92" s="280"/>
    </row>
    <row r="93" spans="1:26" s="92" customFormat="1" ht="12.75" x14ac:dyDescent="0.2">
      <c r="A93" s="280"/>
      <c r="B93" s="280"/>
      <c r="C93" s="280"/>
      <c r="D93" s="280"/>
      <c r="E93" s="280"/>
      <c r="F93" s="280"/>
      <c r="G93" s="280"/>
      <c r="H93" s="280"/>
    </row>
    <row r="94" spans="1:26" s="92" customFormat="1" ht="12.75" x14ac:dyDescent="0.2">
      <c r="A94" s="280"/>
      <c r="B94" s="280"/>
      <c r="C94" s="280"/>
      <c r="D94" s="280"/>
      <c r="E94" s="280"/>
      <c r="F94" s="280"/>
      <c r="G94" s="280"/>
      <c r="H94" s="280"/>
    </row>
    <row r="95" spans="1:26" s="92" customFormat="1" ht="12.75" x14ac:dyDescent="0.2">
      <c r="A95" s="280"/>
      <c r="B95" s="280"/>
      <c r="C95" s="280"/>
      <c r="D95" s="280"/>
      <c r="E95" s="280"/>
      <c r="F95" s="280"/>
      <c r="G95" s="280"/>
      <c r="H95" s="280"/>
    </row>
    <row r="96" spans="1:26" s="92" customFormat="1" ht="12.75" x14ac:dyDescent="0.2">
      <c r="A96" s="280"/>
      <c r="B96" s="280"/>
      <c r="C96" s="280"/>
      <c r="D96" s="280"/>
      <c r="E96" s="280"/>
      <c r="F96" s="280"/>
      <c r="G96" s="280"/>
      <c r="H96" s="280"/>
    </row>
    <row r="97" spans="1:8" s="92" customFormat="1" ht="12.75" x14ac:dyDescent="0.2">
      <c r="A97" s="280"/>
      <c r="B97" s="280"/>
      <c r="C97" s="280"/>
      <c r="D97" s="280"/>
      <c r="E97" s="280"/>
      <c r="F97" s="280"/>
      <c r="G97" s="280"/>
      <c r="H97" s="280"/>
    </row>
    <row r="98" spans="1:8" s="92" customFormat="1" ht="12.75" x14ac:dyDescent="0.2">
      <c r="A98" s="280"/>
      <c r="B98" s="280"/>
      <c r="C98" s="280"/>
      <c r="D98" s="280"/>
      <c r="E98" s="280"/>
      <c r="F98" s="280"/>
      <c r="G98" s="280"/>
      <c r="H98" s="280"/>
    </row>
    <row r="99" spans="1:8" s="92" customFormat="1" ht="12.75" x14ac:dyDescent="0.2">
      <c r="A99" s="280"/>
      <c r="B99" s="280"/>
      <c r="C99" s="280"/>
      <c r="D99" s="280"/>
      <c r="E99" s="280"/>
      <c r="F99" s="280"/>
      <c r="G99" s="280"/>
      <c r="H99" s="280"/>
    </row>
    <row r="100" spans="1:8" s="92" customFormat="1" ht="12.75" x14ac:dyDescent="0.2">
      <c r="A100" s="280"/>
      <c r="B100" s="280"/>
      <c r="C100" s="280"/>
      <c r="D100" s="280"/>
      <c r="E100" s="280"/>
      <c r="F100" s="280"/>
      <c r="G100" s="280"/>
      <c r="H100" s="280"/>
    </row>
    <row r="101" spans="1:8" s="92" customFormat="1" ht="12.75" x14ac:dyDescent="0.2">
      <c r="A101" s="280"/>
      <c r="B101" s="280"/>
      <c r="C101" s="280"/>
      <c r="D101" s="280"/>
      <c r="E101" s="280"/>
      <c r="F101" s="280"/>
      <c r="G101" s="280"/>
      <c r="H101" s="280"/>
    </row>
    <row r="102" spans="1:8" s="92" customFormat="1" ht="12.75" x14ac:dyDescent="0.2">
      <c r="A102" s="280"/>
      <c r="B102" s="280"/>
      <c r="C102" s="280"/>
      <c r="D102" s="280"/>
      <c r="E102" s="280"/>
      <c r="F102" s="280"/>
      <c r="G102" s="280"/>
      <c r="H102" s="280"/>
    </row>
    <row r="103" spans="1:8" s="92" customFormat="1" ht="12.75" x14ac:dyDescent="0.2">
      <c r="A103" s="280"/>
      <c r="B103" s="280"/>
      <c r="C103" s="280"/>
      <c r="D103" s="280"/>
      <c r="E103" s="280"/>
      <c r="F103" s="280"/>
      <c r="G103" s="280"/>
      <c r="H103" s="280"/>
    </row>
    <row r="104" spans="1:8" s="92" customFormat="1" ht="12.75" x14ac:dyDescent="0.2">
      <c r="A104" s="280"/>
      <c r="B104" s="280"/>
      <c r="C104" s="280"/>
      <c r="D104" s="280"/>
      <c r="E104" s="280"/>
      <c r="F104" s="280"/>
      <c r="G104" s="280"/>
      <c r="H104" s="280"/>
    </row>
    <row r="105" spans="1:8" s="92" customFormat="1" ht="12.75" x14ac:dyDescent="0.2">
      <c r="A105" s="280"/>
      <c r="B105" s="280"/>
      <c r="C105" s="280"/>
      <c r="D105" s="280"/>
      <c r="E105" s="280"/>
      <c r="F105" s="280"/>
      <c r="G105" s="280"/>
      <c r="H105" s="280"/>
    </row>
    <row r="106" spans="1:8" s="92" customFormat="1" ht="12.75" x14ac:dyDescent="0.2">
      <c r="A106" s="280"/>
      <c r="B106" s="280"/>
      <c r="C106" s="280"/>
      <c r="D106" s="280"/>
      <c r="E106" s="280"/>
      <c r="F106" s="280"/>
      <c r="G106" s="280"/>
      <c r="H106" s="280"/>
    </row>
    <row r="107" spans="1:8" s="92" customFormat="1" ht="12.75" x14ac:dyDescent="0.2">
      <c r="A107" s="280"/>
      <c r="B107" s="280"/>
      <c r="C107" s="280"/>
      <c r="D107" s="280"/>
      <c r="E107" s="280"/>
      <c r="F107" s="280"/>
      <c r="G107" s="280"/>
      <c r="H107" s="280"/>
    </row>
    <row r="108" spans="1:8" s="92" customFormat="1" ht="12.75" x14ac:dyDescent="0.2">
      <c r="A108" s="280"/>
      <c r="B108" s="280"/>
      <c r="C108" s="280"/>
      <c r="D108" s="280"/>
      <c r="E108" s="280"/>
      <c r="F108" s="280"/>
      <c r="G108" s="280"/>
      <c r="H108" s="280"/>
    </row>
    <row r="109" spans="1:8" s="92" customFormat="1" ht="12.75" x14ac:dyDescent="0.2">
      <c r="A109" s="280"/>
      <c r="B109" s="280"/>
      <c r="C109" s="280"/>
      <c r="D109" s="280"/>
      <c r="E109" s="280"/>
      <c r="F109" s="280"/>
      <c r="G109" s="280"/>
      <c r="H109" s="280"/>
    </row>
    <row r="110" spans="1:8" s="92" customFormat="1" ht="12.75" x14ac:dyDescent="0.2">
      <c r="A110" s="280"/>
      <c r="B110" s="280"/>
      <c r="C110" s="280"/>
      <c r="D110" s="280"/>
      <c r="E110" s="280"/>
      <c r="F110" s="280"/>
      <c r="G110" s="280"/>
      <c r="H110" s="280"/>
    </row>
    <row r="111" spans="1:8" s="92" customFormat="1" ht="12.75" x14ac:dyDescent="0.2">
      <c r="A111" s="280"/>
      <c r="B111" s="280"/>
      <c r="C111" s="280"/>
      <c r="D111" s="280"/>
      <c r="E111" s="280"/>
      <c r="F111" s="280"/>
      <c r="G111" s="280"/>
      <c r="H111" s="280"/>
    </row>
    <row r="112" spans="1:8" s="92" customFormat="1" ht="12.75" x14ac:dyDescent="0.2">
      <c r="A112" s="280"/>
      <c r="B112" s="280"/>
      <c r="C112" s="280"/>
      <c r="D112" s="280"/>
      <c r="E112" s="280"/>
      <c r="F112" s="280"/>
      <c r="G112" s="280"/>
      <c r="H112" s="280"/>
    </row>
    <row r="113" spans="1:8" s="92" customFormat="1" ht="12.75" x14ac:dyDescent="0.2">
      <c r="A113" s="280"/>
      <c r="B113" s="280"/>
      <c r="C113" s="280"/>
      <c r="D113" s="280"/>
      <c r="E113" s="280"/>
      <c r="F113" s="280"/>
      <c r="G113" s="280"/>
      <c r="H113" s="280"/>
    </row>
    <row r="114" spans="1:8" s="92" customFormat="1" ht="12.75" x14ac:dyDescent="0.2">
      <c r="A114" s="280"/>
      <c r="B114" s="280"/>
      <c r="C114" s="280"/>
      <c r="D114" s="280"/>
      <c r="E114" s="280"/>
      <c r="F114" s="280"/>
      <c r="G114" s="280"/>
      <c r="H114" s="280"/>
    </row>
    <row r="115" spans="1:8" s="92" customFormat="1" ht="12.75" x14ac:dyDescent="0.2">
      <c r="A115" s="280"/>
      <c r="B115" s="280"/>
      <c r="C115" s="280"/>
      <c r="D115" s="280"/>
      <c r="E115" s="280"/>
      <c r="F115" s="280"/>
      <c r="G115" s="280"/>
      <c r="H115" s="280"/>
    </row>
    <row r="116" spans="1:8" s="92" customFormat="1" ht="12.75" x14ac:dyDescent="0.2">
      <c r="A116" s="280"/>
      <c r="B116" s="280"/>
      <c r="C116" s="280"/>
      <c r="D116" s="280"/>
      <c r="E116" s="280"/>
      <c r="F116" s="280"/>
      <c r="G116" s="280"/>
      <c r="H116" s="280"/>
    </row>
    <row r="117" spans="1:8" s="92" customFormat="1" ht="12.75" x14ac:dyDescent="0.2">
      <c r="A117" s="280"/>
      <c r="B117" s="280"/>
      <c r="C117" s="280"/>
      <c r="D117" s="280"/>
      <c r="E117" s="280"/>
      <c r="F117" s="280"/>
      <c r="G117" s="280"/>
      <c r="H117" s="280"/>
    </row>
    <row r="118" spans="1:8" s="92" customFormat="1" ht="12.75" x14ac:dyDescent="0.2">
      <c r="A118" s="280"/>
      <c r="B118" s="280"/>
      <c r="C118" s="280"/>
      <c r="D118" s="280"/>
      <c r="E118" s="280"/>
      <c r="F118" s="280"/>
      <c r="G118" s="280"/>
      <c r="H118" s="280"/>
    </row>
    <row r="119" spans="1:8" s="92" customFormat="1" ht="12.75" x14ac:dyDescent="0.2">
      <c r="A119" s="280"/>
      <c r="B119" s="280"/>
      <c r="C119" s="280"/>
      <c r="D119" s="280"/>
      <c r="E119" s="280"/>
      <c r="F119" s="280"/>
      <c r="G119" s="280"/>
      <c r="H119" s="280"/>
    </row>
    <row r="120" spans="1:8" s="92" customFormat="1" ht="12" customHeight="1" x14ac:dyDescent="0.2">
      <c r="A120" s="280"/>
      <c r="B120" s="280"/>
      <c r="C120" s="280"/>
      <c r="D120" s="280"/>
      <c r="E120" s="280"/>
      <c r="F120" s="280"/>
      <c r="G120" s="280"/>
      <c r="H120" s="280"/>
    </row>
    <row r="121" spans="1:8" s="92" customFormat="1" ht="20.25" customHeight="1" x14ac:dyDescent="0.2">
      <c r="A121" s="280"/>
      <c r="B121" s="280"/>
      <c r="C121" s="280"/>
      <c r="D121" s="280"/>
      <c r="E121" s="280"/>
      <c r="F121" s="280"/>
      <c r="G121" s="280"/>
      <c r="H121" s="280"/>
    </row>
    <row r="122" spans="1:8" s="92" customFormat="1" ht="20.25" customHeight="1" x14ac:dyDescent="0.2">
      <c r="A122" s="280"/>
      <c r="B122" s="280"/>
      <c r="C122" s="280"/>
      <c r="D122" s="280"/>
      <c r="E122" s="280"/>
      <c r="F122" s="280"/>
      <c r="G122" s="280"/>
      <c r="H122" s="280"/>
    </row>
    <row r="123" spans="1:8" s="92" customFormat="1" ht="12.75" x14ac:dyDescent="0.2">
      <c r="A123" s="280"/>
      <c r="B123" s="280"/>
      <c r="C123" s="280"/>
      <c r="D123" s="280"/>
      <c r="E123" s="280"/>
      <c r="F123" s="280"/>
      <c r="G123" s="280"/>
      <c r="H123" s="280"/>
    </row>
    <row r="124" spans="1:8" s="92" customFormat="1" ht="87" customHeight="1" x14ac:dyDescent="0.2">
      <c r="A124" s="280"/>
      <c r="B124" s="280"/>
      <c r="C124" s="280"/>
      <c r="D124" s="280"/>
      <c r="E124" s="280"/>
      <c r="F124" s="280"/>
      <c r="G124" s="280"/>
      <c r="H124" s="280"/>
    </row>
    <row r="125" spans="1:8" s="92" customFormat="1" ht="12.75" x14ac:dyDescent="0.2">
      <c r="A125" s="280"/>
      <c r="B125" s="280"/>
      <c r="C125" s="280"/>
      <c r="D125" s="280"/>
      <c r="E125" s="280"/>
      <c r="F125" s="280"/>
      <c r="G125" s="280"/>
      <c r="H125" s="280"/>
    </row>
    <row r="126" spans="1:8" s="92" customFormat="1" ht="12.75" x14ac:dyDescent="0.2">
      <c r="A126" s="280"/>
      <c r="B126" s="280"/>
      <c r="C126" s="280"/>
      <c r="D126" s="280"/>
      <c r="E126" s="280"/>
      <c r="F126" s="280"/>
      <c r="G126" s="280"/>
      <c r="H126" s="280"/>
    </row>
    <row r="127" spans="1:8" s="92" customFormat="1" ht="12.75" x14ac:dyDescent="0.2">
      <c r="A127" s="280"/>
      <c r="B127" s="280"/>
      <c r="C127" s="280"/>
      <c r="D127" s="280"/>
      <c r="E127" s="280"/>
      <c r="F127" s="280"/>
      <c r="G127" s="280"/>
      <c r="H127" s="280"/>
    </row>
    <row r="128" spans="1:8" s="92" customFormat="1" ht="12.75" x14ac:dyDescent="0.2">
      <c r="A128" s="280"/>
      <c r="B128" s="280"/>
      <c r="C128" s="280"/>
      <c r="D128" s="280"/>
      <c r="E128" s="280"/>
      <c r="F128" s="280"/>
      <c r="G128" s="280"/>
      <c r="H128" s="280"/>
    </row>
    <row r="129" spans="1:8" s="92" customFormat="1" ht="12.75" x14ac:dyDescent="0.2">
      <c r="A129" s="280"/>
      <c r="B129" s="280"/>
      <c r="C129" s="280"/>
      <c r="D129" s="280"/>
      <c r="E129" s="280"/>
      <c r="F129" s="280"/>
      <c r="G129" s="280"/>
      <c r="H129" s="280"/>
    </row>
    <row r="130" spans="1:8" s="92" customFormat="1" ht="12.75" x14ac:dyDescent="0.2">
      <c r="A130" s="280"/>
      <c r="B130" s="280"/>
      <c r="C130" s="280"/>
      <c r="D130" s="280"/>
      <c r="E130" s="280"/>
      <c r="F130" s="280"/>
      <c r="G130" s="280"/>
      <c r="H130" s="280"/>
    </row>
    <row r="131" spans="1:8" s="92" customFormat="1" ht="12.75" x14ac:dyDescent="0.2">
      <c r="A131" s="280"/>
      <c r="B131" s="280"/>
      <c r="C131" s="280"/>
      <c r="D131" s="280"/>
      <c r="E131" s="280"/>
      <c r="F131" s="280"/>
      <c r="G131" s="280"/>
      <c r="H131" s="280"/>
    </row>
    <row r="132" spans="1:8" s="92" customFormat="1" ht="12.75" x14ac:dyDescent="0.2">
      <c r="A132" s="280"/>
      <c r="B132" s="280"/>
      <c r="C132" s="280"/>
      <c r="D132" s="280"/>
      <c r="E132" s="280"/>
      <c r="F132" s="280"/>
      <c r="G132" s="280"/>
      <c r="H132" s="280"/>
    </row>
    <row r="133" spans="1:8" s="92" customFormat="1" ht="12.75" x14ac:dyDescent="0.2">
      <c r="A133" s="280"/>
      <c r="B133" s="280"/>
      <c r="C133" s="280"/>
      <c r="D133" s="280"/>
      <c r="E133" s="280"/>
      <c r="F133" s="280"/>
      <c r="G133" s="280"/>
      <c r="H133" s="280"/>
    </row>
    <row r="134" spans="1:8" s="92" customFormat="1" ht="12.75" x14ac:dyDescent="0.2">
      <c r="A134" s="280"/>
      <c r="B134" s="280"/>
      <c r="C134" s="280"/>
      <c r="D134" s="280"/>
      <c r="E134" s="280"/>
      <c r="F134" s="280"/>
      <c r="G134" s="280"/>
      <c r="H134" s="280"/>
    </row>
    <row r="135" spans="1:8" s="92" customFormat="1" ht="12.75" x14ac:dyDescent="0.2">
      <c r="A135" s="280"/>
      <c r="B135" s="280"/>
      <c r="C135" s="280"/>
      <c r="D135" s="280"/>
      <c r="E135" s="280"/>
      <c r="F135" s="280"/>
      <c r="G135" s="280"/>
      <c r="H135" s="280"/>
    </row>
  </sheetData>
  <sheetProtection password="EA99" sheet="1" objects="1" scenarios="1"/>
  <mergeCells count="11">
    <mergeCell ref="A1:H1"/>
    <mergeCell ref="A2:H2"/>
    <mergeCell ref="A20:C20"/>
    <mergeCell ref="A9:D9"/>
    <mergeCell ref="A8:C8"/>
    <mergeCell ref="A68:H68"/>
    <mergeCell ref="A69:H69"/>
    <mergeCell ref="A43:C43"/>
    <mergeCell ref="A66:H66"/>
    <mergeCell ref="A39:D39"/>
    <mergeCell ref="A67:H67"/>
  </mergeCells>
  <phoneticPr fontId="0" type="noConversion"/>
  <dataValidations xWindow="995" yWindow="673" count="1">
    <dataValidation allowBlank="1" showInputMessage="1" showErrorMessage="1" prompt="DOE's sales tax figure will automatically appear in this box.  You can also enter your most recent estimate, if it differs from the department's figure." sqref="F39"/>
  </dataValidations>
  <hyperlinks>
    <hyperlink ref="A9" r:id="rId1" display="(See Attachment D, Chart of Accounts, for 2004-2005 ASRFIN)"/>
    <hyperlink ref="A9:D9" r:id="rId2" display="Click here for Chart of Accounts"/>
  </hyperlinks>
  <printOptions horizontalCentered="1"/>
  <pageMargins left="0.34" right="0.31" top="0.5" bottom="0.5" header="0.5" footer="0.5"/>
  <pageSetup scale="56" orientation="portrait" r:id="rId3"/>
  <headerFooter alignWithMargins="0"/>
  <rowBreaks count="1" manualBreakCount="1">
    <brk id="64" max="7" man="1"/>
  </rowBreaks>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22"/>
    <pageSetUpPr fitToPage="1"/>
  </sheetPr>
  <dimension ref="A1:Z134"/>
  <sheetViews>
    <sheetView zoomScale="90" zoomScaleNormal="90" workbookViewId="0">
      <pane ySplit="6" topLeftCell="A7" activePane="bottomLeft" state="frozen"/>
      <selection activeCell="A66" sqref="A66:H69"/>
      <selection pane="bottomLeft" activeCell="A5" sqref="A5"/>
    </sheetView>
  </sheetViews>
  <sheetFormatPr defaultColWidth="9.140625" defaultRowHeight="15" x14ac:dyDescent="0.2"/>
  <cols>
    <col min="1" max="1" width="11" style="2" customWidth="1"/>
    <col min="2" max="2" width="32.85546875" style="2" customWidth="1"/>
    <col min="3" max="3" width="11.28515625" style="2" customWidth="1"/>
    <col min="4" max="5" width="20.7109375" style="2" customWidth="1"/>
    <col min="6" max="6" width="22.28515625" style="2" customWidth="1"/>
    <col min="7" max="7" width="2.5703125" style="2" customWidth="1"/>
    <col min="8" max="8" width="26.28515625" style="2" customWidth="1"/>
    <col min="9" max="9" width="29.28515625" style="24" customWidth="1"/>
    <col min="10" max="26" width="9.140625" style="24"/>
    <col min="27" max="16384" width="9.140625" style="1"/>
  </cols>
  <sheetData>
    <row r="1" spans="1:26" ht="25.5" customHeight="1" x14ac:dyDescent="0.3">
      <c r="A1" s="360" t="s">
        <v>136</v>
      </c>
      <c r="B1" s="361"/>
      <c r="C1" s="361"/>
      <c r="D1" s="361"/>
      <c r="E1" s="361"/>
      <c r="F1" s="361"/>
      <c r="G1" s="361"/>
      <c r="H1" s="362"/>
      <c r="I1" s="17"/>
      <c r="J1" s="17"/>
      <c r="K1" s="17"/>
      <c r="L1" s="17"/>
      <c r="M1" s="17"/>
      <c r="N1" s="17"/>
      <c r="O1" s="17"/>
      <c r="P1" s="17"/>
      <c r="Q1" s="17"/>
      <c r="R1" s="17"/>
      <c r="S1" s="17"/>
      <c r="T1" s="17"/>
      <c r="U1" s="17"/>
      <c r="V1" s="17"/>
      <c r="W1" s="17"/>
      <c r="X1" s="17"/>
      <c r="Y1" s="17"/>
      <c r="Z1" s="17"/>
    </row>
    <row r="2" spans="1:26" ht="41.25" customHeight="1" thickBot="1" x14ac:dyDescent="0.25">
      <c r="A2" s="363" t="s">
        <v>659</v>
      </c>
      <c r="B2" s="364"/>
      <c r="C2" s="364"/>
      <c r="D2" s="364"/>
      <c r="E2" s="364"/>
      <c r="F2" s="364"/>
      <c r="G2" s="364"/>
      <c r="H2" s="365"/>
      <c r="I2" s="17"/>
      <c r="J2" s="17"/>
      <c r="K2" s="17"/>
      <c r="L2" s="17"/>
      <c r="M2" s="17"/>
      <c r="N2" s="17"/>
      <c r="O2" s="17"/>
      <c r="P2" s="17"/>
      <c r="Q2" s="17"/>
      <c r="R2" s="17"/>
      <c r="S2" s="17"/>
      <c r="T2" s="17"/>
      <c r="U2" s="17"/>
      <c r="V2" s="17"/>
      <c r="W2" s="17"/>
      <c r="X2" s="17"/>
      <c r="Y2" s="17"/>
      <c r="Z2" s="17"/>
    </row>
    <row r="3" spans="1:26" x14ac:dyDescent="0.2">
      <c r="A3" s="128"/>
      <c r="B3" s="105"/>
      <c r="C3" s="100"/>
      <c r="D3" s="100"/>
      <c r="E3" s="100"/>
      <c r="F3" s="100"/>
      <c r="G3" s="100"/>
      <c r="H3" s="129"/>
      <c r="I3" s="17"/>
      <c r="J3" s="17"/>
      <c r="K3" s="17"/>
      <c r="L3" s="17"/>
      <c r="M3" s="17"/>
      <c r="N3" s="17"/>
      <c r="O3" s="17"/>
      <c r="P3" s="17"/>
      <c r="Q3" s="17"/>
      <c r="R3" s="17"/>
      <c r="S3" s="17"/>
      <c r="T3" s="17"/>
      <c r="U3" s="17"/>
      <c r="V3" s="17"/>
      <c r="W3" s="17"/>
      <c r="X3" s="17"/>
      <c r="Y3" s="17"/>
      <c r="Z3" s="17"/>
    </row>
    <row r="4" spans="1:26" ht="15.75" x14ac:dyDescent="0.25">
      <c r="A4" s="130" t="s">
        <v>0</v>
      </c>
      <c r="B4" s="106" t="s">
        <v>1</v>
      </c>
      <c r="C4" s="103"/>
      <c r="D4" s="101"/>
      <c r="E4" s="101"/>
      <c r="F4" s="101"/>
      <c r="G4" s="101"/>
      <c r="H4" s="131"/>
      <c r="I4" s="17"/>
      <c r="J4" s="17"/>
      <c r="K4" s="17"/>
      <c r="L4" s="17"/>
      <c r="M4" s="17"/>
      <c r="N4" s="17"/>
      <c r="O4" s="17"/>
      <c r="P4" s="17"/>
      <c r="Q4" s="17"/>
      <c r="R4" s="17"/>
      <c r="S4" s="17"/>
      <c r="T4" s="17"/>
      <c r="U4" s="17"/>
      <c r="V4" s="17"/>
      <c r="W4" s="17"/>
      <c r="X4" s="17"/>
      <c r="Y4" s="17"/>
      <c r="Z4" s="17"/>
    </row>
    <row r="5" spans="1:26" ht="21.95" customHeight="1" x14ac:dyDescent="0.25">
      <c r="A5" s="29">
        <f>'Fiscal Year 2018 Worksheet'!A5</f>
        <v>0</v>
      </c>
      <c r="B5" s="30" t="str">
        <f>'Fiscal Year 2018 Worksheet'!B5</f>
        <v>&lt;SELECT DIVISION&gt;</v>
      </c>
      <c r="C5" s="104"/>
      <c r="D5" s="101"/>
      <c r="E5" s="101"/>
      <c r="F5" s="101"/>
      <c r="G5" s="101"/>
      <c r="H5" s="131"/>
      <c r="I5" s="17"/>
      <c r="J5" s="17"/>
      <c r="K5" s="17"/>
      <c r="L5" s="17"/>
      <c r="M5" s="17"/>
      <c r="N5" s="17"/>
      <c r="O5" s="17"/>
      <c r="P5" s="17"/>
      <c r="Q5" s="17"/>
      <c r="R5" s="17"/>
      <c r="S5" s="17"/>
      <c r="T5" s="17"/>
      <c r="U5" s="17"/>
      <c r="V5" s="17"/>
      <c r="W5" s="17"/>
      <c r="X5" s="17"/>
      <c r="Y5" s="17"/>
      <c r="Z5" s="17"/>
    </row>
    <row r="6" spans="1:26" ht="11.1" customHeight="1" thickBot="1" x14ac:dyDescent="0.25">
      <c r="A6" s="162"/>
      <c r="B6" s="163"/>
      <c r="C6" s="135"/>
      <c r="D6" s="135"/>
      <c r="E6" s="135"/>
      <c r="F6" s="135"/>
      <c r="G6" s="135"/>
      <c r="H6" s="136"/>
      <c r="I6" s="17"/>
      <c r="J6" s="17"/>
      <c r="K6" s="17"/>
      <c r="L6" s="17"/>
      <c r="M6" s="17"/>
      <c r="N6" s="17"/>
      <c r="O6" s="17"/>
      <c r="P6" s="17"/>
      <c r="Q6" s="17"/>
      <c r="R6" s="17"/>
      <c r="S6" s="17"/>
      <c r="T6" s="17"/>
      <c r="U6" s="17"/>
      <c r="V6" s="17"/>
      <c r="W6" s="17"/>
      <c r="X6" s="17"/>
      <c r="Y6" s="17"/>
      <c r="Z6" s="17"/>
    </row>
    <row r="7" spans="1:26" ht="11.1" customHeight="1" x14ac:dyDescent="0.2">
      <c r="A7" s="155"/>
      <c r="B7" s="107"/>
      <c r="C7" s="107"/>
      <c r="D7" s="107"/>
      <c r="E7" s="107"/>
      <c r="F7" s="120"/>
      <c r="G7" s="107"/>
      <c r="H7" s="153"/>
      <c r="I7" s="17"/>
      <c r="J7" s="17"/>
      <c r="K7" s="17"/>
      <c r="L7" s="17"/>
      <c r="M7" s="17"/>
      <c r="N7" s="17"/>
      <c r="O7" s="17"/>
      <c r="P7" s="17"/>
      <c r="Q7" s="17"/>
      <c r="R7" s="17"/>
      <c r="S7" s="17"/>
      <c r="T7" s="17"/>
      <c r="U7" s="17"/>
      <c r="V7" s="17"/>
      <c r="W7" s="17"/>
      <c r="X7" s="17"/>
      <c r="Y7" s="17"/>
      <c r="Z7" s="17"/>
    </row>
    <row r="8" spans="1:26" ht="15" customHeight="1" x14ac:dyDescent="0.2">
      <c r="A8" s="334" t="s">
        <v>646</v>
      </c>
      <c r="B8" s="335"/>
      <c r="C8" s="335"/>
      <c r="D8" s="248"/>
      <c r="E8" s="108"/>
      <c r="F8" s="32"/>
      <c r="G8" s="103"/>
      <c r="H8" s="139"/>
      <c r="I8" s="20"/>
      <c r="J8" s="20"/>
      <c r="K8" s="17"/>
      <c r="L8" s="17"/>
      <c r="M8" s="17"/>
      <c r="N8" s="17"/>
      <c r="O8" s="17"/>
      <c r="P8" s="17"/>
      <c r="Q8" s="17"/>
      <c r="R8" s="17"/>
      <c r="S8" s="17"/>
      <c r="T8" s="17"/>
      <c r="U8" s="17"/>
      <c r="V8" s="17"/>
      <c r="W8" s="17"/>
      <c r="X8" s="17"/>
      <c r="Y8" s="17"/>
      <c r="Z8" s="17"/>
    </row>
    <row r="9" spans="1:26" ht="16.5" customHeight="1" x14ac:dyDescent="0.2">
      <c r="A9" s="358" t="s">
        <v>658</v>
      </c>
      <c r="B9" s="359"/>
      <c r="C9" s="359"/>
      <c r="D9" s="359"/>
      <c r="E9" s="118"/>
      <c r="F9" s="120"/>
      <c r="G9" s="101"/>
      <c r="H9" s="139"/>
      <c r="I9" s="21"/>
      <c r="J9" s="22"/>
      <c r="K9" s="17"/>
      <c r="L9" s="17"/>
      <c r="M9" s="17"/>
      <c r="N9" s="17"/>
      <c r="O9" s="17"/>
      <c r="P9" s="17"/>
      <c r="Q9" s="17"/>
      <c r="R9" s="17"/>
      <c r="S9" s="17"/>
      <c r="T9" s="17"/>
      <c r="U9" s="17"/>
      <c r="V9" s="17"/>
      <c r="W9" s="17"/>
      <c r="X9" s="17"/>
      <c r="Y9" s="17"/>
      <c r="Z9" s="17"/>
    </row>
    <row r="10" spans="1:26" x14ac:dyDescent="0.2">
      <c r="A10" s="141" t="s">
        <v>589</v>
      </c>
      <c r="B10" s="109"/>
      <c r="C10" s="109"/>
      <c r="D10" s="109"/>
      <c r="E10" s="110"/>
      <c r="F10" s="12"/>
      <c r="G10" s="103"/>
      <c r="H10" s="139"/>
      <c r="I10" s="20"/>
      <c r="J10" s="20"/>
      <c r="K10" s="17"/>
      <c r="L10" s="17"/>
      <c r="M10" s="17"/>
      <c r="N10" s="17"/>
      <c r="O10" s="17"/>
      <c r="P10" s="17"/>
      <c r="Q10" s="17"/>
      <c r="R10" s="17"/>
      <c r="S10" s="17"/>
      <c r="T10" s="17"/>
      <c r="U10" s="17"/>
      <c r="V10" s="17"/>
      <c r="W10" s="17"/>
      <c r="X10" s="17"/>
      <c r="Y10" s="17"/>
      <c r="Z10" s="17"/>
    </row>
    <row r="11" spans="1:26" ht="6.75" customHeight="1" x14ac:dyDescent="0.2">
      <c r="A11" s="141"/>
      <c r="B11" s="109"/>
      <c r="C11" s="109"/>
      <c r="D11" s="109"/>
      <c r="E11" s="117"/>
      <c r="F11" s="156"/>
      <c r="G11" s="101"/>
      <c r="H11" s="139"/>
      <c r="I11" s="20"/>
      <c r="J11" s="20"/>
      <c r="K11" s="17"/>
      <c r="L11" s="17"/>
      <c r="M11" s="17"/>
      <c r="N11" s="17"/>
      <c r="O11" s="17"/>
      <c r="P11" s="17"/>
      <c r="Q11" s="17"/>
      <c r="R11" s="17"/>
      <c r="S11" s="17"/>
      <c r="T11" s="17"/>
      <c r="U11" s="17"/>
      <c r="V11" s="17"/>
      <c r="W11" s="17"/>
      <c r="X11" s="17"/>
      <c r="Y11" s="17"/>
      <c r="Z11" s="17"/>
    </row>
    <row r="12" spans="1:26" x14ac:dyDescent="0.2">
      <c r="A12" s="141" t="s">
        <v>618</v>
      </c>
      <c r="B12" s="101"/>
      <c r="C12" s="109"/>
      <c r="D12" s="109"/>
      <c r="E12" s="117"/>
      <c r="F12" s="117"/>
      <c r="G12" s="101"/>
      <c r="H12" s="139"/>
      <c r="I12" s="20"/>
      <c r="J12" s="20"/>
      <c r="K12" s="17"/>
      <c r="L12" s="17"/>
      <c r="M12" s="17"/>
      <c r="N12" s="17"/>
      <c r="O12" s="17"/>
      <c r="P12" s="17"/>
      <c r="Q12" s="17"/>
      <c r="R12" s="17"/>
      <c r="S12" s="17"/>
      <c r="T12" s="17"/>
      <c r="U12" s="17"/>
      <c r="V12" s="17"/>
      <c r="W12" s="17"/>
      <c r="X12" s="17"/>
      <c r="Y12" s="17"/>
      <c r="Z12" s="17"/>
    </row>
    <row r="13" spans="1:26" ht="6.75" customHeight="1" x14ac:dyDescent="0.2">
      <c r="A13" s="141"/>
      <c r="B13" s="101"/>
      <c r="C13" s="109"/>
      <c r="D13" s="109"/>
      <c r="E13" s="117"/>
      <c r="F13" s="281"/>
      <c r="G13" s="101"/>
      <c r="H13" s="139"/>
      <c r="I13" s="20"/>
      <c r="J13" s="20"/>
      <c r="K13" s="17"/>
      <c r="L13" s="17"/>
      <c r="M13" s="17"/>
      <c r="N13" s="17"/>
      <c r="O13" s="17"/>
      <c r="P13" s="17"/>
      <c r="Q13" s="17"/>
      <c r="R13" s="17"/>
      <c r="S13" s="17"/>
      <c r="T13" s="17"/>
      <c r="U13" s="17"/>
      <c r="V13" s="17"/>
      <c r="W13" s="17"/>
      <c r="X13" s="17"/>
      <c r="Y13" s="17"/>
      <c r="Z13" s="17"/>
    </row>
    <row r="14" spans="1:26" x14ac:dyDescent="0.2">
      <c r="A14" s="141"/>
      <c r="B14" s="101" t="s">
        <v>610</v>
      </c>
      <c r="C14" s="109"/>
      <c r="D14" s="109"/>
      <c r="E14" s="110"/>
      <c r="F14" s="12"/>
      <c r="G14" s="103"/>
      <c r="H14" s="139"/>
      <c r="I14" s="20"/>
      <c r="J14" s="20"/>
      <c r="K14" s="17"/>
      <c r="L14" s="17"/>
      <c r="M14" s="17"/>
      <c r="N14" s="17"/>
      <c r="O14" s="17"/>
      <c r="P14" s="17"/>
      <c r="Q14" s="17"/>
      <c r="R14" s="17"/>
      <c r="S14" s="17"/>
      <c r="T14" s="17"/>
      <c r="U14" s="17"/>
      <c r="V14" s="17"/>
      <c r="W14" s="17"/>
      <c r="X14" s="17"/>
      <c r="Y14" s="17"/>
      <c r="Z14" s="17"/>
    </row>
    <row r="15" spans="1:26" ht="6.75" customHeight="1" x14ac:dyDescent="0.2">
      <c r="A15" s="141"/>
      <c r="B15" s="101"/>
      <c r="C15" s="109"/>
      <c r="D15" s="109"/>
      <c r="E15" s="117"/>
      <c r="F15" s="282"/>
      <c r="G15" s="101"/>
      <c r="H15" s="139"/>
      <c r="I15" s="20"/>
      <c r="J15" s="20"/>
      <c r="K15" s="17"/>
      <c r="L15" s="17"/>
      <c r="M15" s="17"/>
      <c r="N15" s="17"/>
      <c r="O15" s="17"/>
      <c r="P15" s="17"/>
      <c r="Q15" s="17"/>
      <c r="R15" s="17"/>
      <c r="S15" s="17"/>
      <c r="T15" s="17"/>
      <c r="U15" s="17"/>
      <c r="V15" s="17"/>
      <c r="W15" s="17"/>
      <c r="X15" s="17"/>
      <c r="Y15" s="17"/>
      <c r="Z15" s="17"/>
    </row>
    <row r="16" spans="1:26" x14ac:dyDescent="0.2">
      <c r="A16" s="141"/>
      <c r="B16" s="101" t="s">
        <v>611</v>
      </c>
      <c r="C16" s="109"/>
      <c r="D16" s="109"/>
      <c r="E16" s="110"/>
      <c r="F16" s="12"/>
      <c r="G16" s="103"/>
      <c r="H16" s="139"/>
      <c r="I16" s="20"/>
      <c r="J16" s="20"/>
      <c r="K16" s="17"/>
      <c r="L16" s="17"/>
      <c r="M16" s="17"/>
      <c r="N16" s="17"/>
      <c r="O16" s="17"/>
      <c r="P16" s="17"/>
      <c r="Q16" s="17"/>
      <c r="R16" s="17"/>
      <c r="S16" s="17"/>
      <c r="T16" s="17"/>
      <c r="U16" s="17"/>
      <c r="V16" s="17"/>
      <c r="W16" s="17"/>
      <c r="X16" s="17"/>
      <c r="Y16" s="17"/>
      <c r="Z16" s="17"/>
    </row>
    <row r="17" spans="1:26" ht="6.95" customHeight="1" thickBot="1" x14ac:dyDescent="0.25">
      <c r="A17" s="142"/>
      <c r="B17" s="111"/>
      <c r="C17" s="111"/>
      <c r="D17" s="111"/>
      <c r="E17" s="117"/>
      <c r="F17" s="258"/>
      <c r="G17" s="101"/>
      <c r="H17" s="143"/>
      <c r="I17" s="20"/>
      <c r="J17" s="20"/>
      <c r="K17" s="17"/>
      <c r="L17" s="17"/>
      <c r="M17" s="17"/>
      <c r="N17" s="17"/>
      <c r="O17" s="17"/>
      <c r="P17" s="17"/>
      <c r="Q17" s="17"/>
      <c r="R17" s="17"/>
      <c r="S17" s="17"/>
      <c r="T17" s="17"/>
      <c r="U17" s="17"/>
      <c r="V17" s="17"/>
      <c r="W17" s="17"/>
      <c r="X17" s="17"/>
      <c r="Y17" s="17"/>
      <c r="Z17" s="17"/>
    </row>
    <row r="18" spans="1:26" ht="16.5" thickBot="1" x14ac:dyDescent="0.3">
      <c r="A18" s="144" t="s">
        <v>614</v>
      </c>
      <c r="B18" s="112"/>
      <c r="C18" s="111"/>
      <c r="D18" s="111"/>
      <c r="E18" s="117"/>
      <c r="F18" s="101"/>
      <c r="G18" s="108"/>
      <c r="H18" s="31">
        <f>SUM(F8-F10)+F14+F16</f>
        <v>0</v>
      </c>
      <c r="I18" s="20"/>
      <c r="J18" s="20"/>
      <c r="K18" s="17"/>
      <c r="L18" s="17"/>
      <c r="M18" s="17"/>
      <c r="N18" s="17"/>
      <c r="O18" s="17"/>
      <c r="P18" s="17"/>
      <c r="Q18" s="17"/>
      <c r="R18" s="17"/>
      <c r="S18" s="17"/>
      <c r="T18" s="17"/>
      <c r="U18" s="17"/>
      <c r="V18" s="17"/>
      <c r="W18" s="17"/>
      <c r="X18" s="17"/>
      <c r="Y18" s="17"/>
      <c r="Z18" s="17"/>
    </row>
    <row r="19" spans="1:26" ht="7.15" customHeight="1" x14ac:dyDescent="0.2">
      <c r="A19" s="146"/>
      <c r="B19" s="101"/>
      <c r="C19" s="101"/>
      <c r="D19" s="101"/>
      <c r="E19" s="101"/>
      <c r="F19" s="102"/>
      <c r="G19" s="101"/>
      <c r="H19" s="147"/>
      <c r="I19" s="20"/>
      <c r="J19" s="20"/>
      <c r="K19" s="17"/>
      <c r="L19" s="17"/>
      <c r="M19" s="17"/>
      <c r="N19" s="17"/>
      <c r="O19" s="17"/>
      <c r="P19" s="17"/>
      <c r="Q19" s="17"/>
      <c r="R19" s="17"/>
      <c r="S19" s="17"/>
      <c r="T19" s="17"/>
      <c r="U19" s="17"/>
      <c r="V19" s="17"/>
      <c r="W19" s="17"/>
      <c r="X19" s="17"/>
      <c r="Y19" s="17"/>
      <c r="Z19" s="17"/>
    </row>
    <row r="20" spans="1:26" x14ac:dyDescent="0.2">
      <c r="A20" s="334" t="s">
        <v>647</v>
      </c>
      <c r="B20" s="335"/>
      <c r="C20" s="335"/>
      <c r="D20" s="101"/>
      <c r="E20" s="113"/>
      <c r="F20" s="12"/>
      <c r="G20" s="103"/>
      <c r="H20" s="148"/>
      <c r="I20" s="20"/>
      <c r="J20" s="20"/>
      <c r="K20" s="17"/>
      <c r="L20" s="17"/>
      <c r="M20" s="17"/>
      <c r="N20" s="17"/>
      <c r="O20" s="17"/>
      <c r="P20" s="17"/>
      <c r="Q20" s="17"/>
      <c r="R20" s="17"/>
      <c r="S20" s="17"/>
      <c r="T20" s="17"/>
      <c r="U20" s="17"/>
      <c r="V20" s="17"/>
      <c r="W20" s="17"/>
      <c r="X20" s="17"/>
      <c r="Y20" s="17"/>
      <c r="Z20" s="17"/>
    </row>
    <row r="21" spans="1:26" ht="6.95" customHeight="1" x14ac:dyDescent="0.2">
      <c r="A21" s="146"/>
      <c r="B21" s="114"/>
      <c r="C21" s="114"/>
      <c r="D21" s="114"/>
      <c r="E21" s="114"/>
      <c r="F21" s="282"/>
      <c r="G21" s="101"/>
      <c r="H21" s="149"/>
      <c r="I21" s="20"/>
      <c r="J21" s="20"/>
      <c r="K21" s="17"/>
      <c r="L21" s="17"/>
      <c r="M21" s="17"/>
      <c r="N21" s="17"/>
      <c r="O21" s="17"/>
      <c r="P21" s="17"/>
      <c r="Q21" s="17"/>
      <c r="R21" s="17"/>
      <c r="S21" s="17"/>
      <c r="T21" s="17"/>
      <c r="U21" s="17"/>
      <c r="V21" s="17"/>
      <c r="W21" s="17"/>
      <c r="X21" s="17"/>
      <c r="Y21" s="17"/>
      <c r="Z21" s="17"/>
    </row>
    <row r="22" spans="1:26" x14ac:dyDescent="0.2">
      <c r="A22" s="141" t="s">
        <v>2</v>
      </c>
      <c r="B22" s="101"/>
      <c r="C22" s="101"/>
      <c r="D22" s="101"/>
      <c r="E22" s="108"/>
      <c r="F22" s="12"/>
      <c r="G22" s="103"/>
      <c r="H22" s="149"/>
      <c r="I22" s="20"/>
      <c r="J22" s="20"/>
      <c r="K22" s="17"/>
      <c r="L22" s="17"/>
      <c r="M22" s="17"/>
      <c r="N22" s="17"/>
      <c r="O22" s="17"/>
      <c r="P22" s="17"/>
      <c r="Q22" s="17"/>
      <c r="R22" s="17"/>
      <c r="S22" s="17"/>
      <c r="T22" s="17"/>
      <c r="U22" s="17"/>
      <c r="V22" s="17"/>
      <c r="W22" s="17"/>
      <c r="X22" s="17"/>
      <c r="Y22" s="17"/>
      <c r="Z22" s="17"/>
    </row>
    <row r="23" spans="1:26" ht="6.75" customHeight="1" x14ac:dyDescent="0.2">
      <c r="A23" s="150"/>
      <c r="B23" s="101"/>
      <c r="C23" s="101"/>
      <c r="D23" s="101"/>
      <c r="E23" s="101"/>
      <c r="F23" s="107"/>
      <c r="G23" s="101"/>
      <c r="H23" s="149"/>
      <c r="I23" s="20"/>
      <c r="J23" s="20"/>
      <c r="K23" s="17"/>
      <c r="L23" s="17"/>
      <c r="M23" s="17"/>
      <c r="N23" s="17"/>
      <c r="O23" s="17"/>
      <c r="P23" s="17"/>
      <c r="Q23" s="17"/>
      <c r="R23" s="17"/>
      <c r="S23" s="17"/>
      <c r="T23" s="17"/>
      <c r="U23" s="17"/>
      <c r="V23" s="17"/>
      <c r="W23" s="17"/>
      <c r="X23" s="17"/>
      <c r="Y23" s="17"/>
      <c r="Z23" s="17"/>
    </row>
    <row r="24" spans="1:26" x14ac:dyDescent="0.2">
      <c r="A24" s="141" t="s">
        <v>609</v>
      </c>
      <c r="B24" s="101"/>
      <c r="C24" s="101"/>
      <c r="D24" s="101"/>
      <c r="E24" s="101"/>
      <c r="F24" s="101"/>
      <c r="G24" s="101"/>
      <c r="H24" s="149"/>
      <c r="I24" s="20"/>
      <c r="J24" s="20"/>
      <c r="K24" s="17"/>
      <c r="L24" s="17"/>
      <c r="M24" s="17"/>
      <c r="N24" s="17"/>
      <c r="O24" s="17"/>
      <c r="P24" s="17"/>
      <c r="Q24" s="17"/>
      <c r="R24" s="17"/>
      <c r="S24" s="17"/>
      <c r="T24" s="17"/>
      <c r="U24" s="17"/>
      <c r="V24" s="17"/>
      <c r="W24" s="17"/>
      <c r="X24" s="17"/>
      <c r="Y24" s="17"/>
      <c r="Z24" s="17"/>
    </row>
    <row r="25" spans="1:26" ht="6.75" customHeight="1" x14ac:dyDescent="0.2">
      <c r="A25" s="141"/>
      <c r="B25" s="101"/>
      <c r="C25" s="101"/>
      <c r="D25" s="101"/>
      <c r="E25" s="101"/>
      <c r="F25" s="281"/>
      <c r="G25" s="101"/>
      <c r="H25" s="149"/>
      <c r="I25" s="20"/>
      <c r="J25" s="20"/>
      <c r="K25" s="17"/>
      <c r="L25" s="17"/>
      <c r="M25" s="17"/>
      <c r="N25" s="17"/>
      <c r="O25" s="17"/>
      <c r="P25" s="17"/>
      <c r="Q25" s="17"/>
      <c r="R25" s="17"/>
      <c r="S25" s="17"/>
      <c r="T25" s="17"/>
      <c r="U25" s="17"/>
      <c r="V25" s="17"/>
      <c r="W25" s="17"/>
      <c r="X25" s="17"/>
      <c r="Y25" s="17"/>
      <c r="Z25" s="17"/>
    </row>
    <row r="26" spans="1:26" x14ac:dyDescent="0.2">
      <c r="A26" s="141"/>
      <c r="B26" s="101" t="s">
        <v>610</v>
      </c>
      <c r="C26" s="101"/>
      <c r="D26" s="101"/>
      <c r="E26" s="108"/>
      <c r="F26" s="12"/>
      <c r="G26" s="103"/>
      <c r="H26" s="149"/>
      <c r="I26" s="20"/>
      <c r="J26" s="20"/>
      <c r="K26" s="17"/>
      <c r="L26" s="17"/>
      <c r="M26" s="17"/>
      <c r="N26" s="17"/>
      <c r="O26" s="17"/>
      <c r="P26" s="17"/>
      <c r="Q26" s="17"/>
      <c r="R26" s="17"/>
      <c r="S26" s="17"/>
      <c r="T26" s="17"/>
      <c r="U26" s="17"/>
      <c r="V26" s="17"/>
      <c r="W26" s="17"/>
      <c r="X26" s="17"/>
      <c r="Y26" s="17"/>
      <c r="Z26" s="17"/>
    </row>
    <row r="27" spans="1:26" ht="6.75" customHeight="1" x14ac:dyDescent="0.2">
      <c r="A27" s="141"/>
      <c r="B27" s="101"/>
      <c r="C27" s="101"/>
      <c r="D27" s="101"/>
      <c r="E27" s="101"/>
      <c r="F27" s="124"/>
      <c r="G27" s="101"/>
      <c r="H27" s="149"/>
      <c r="I27" s="20"/>
      <c r="J27" s="20"/>
      <c r="K27" s="17"/>
      <c r="L27" s="17"/>
      <c r="M27" s="17"/>
      <c r="N27" s="17"/>
      <c r="O27" s="17"/>
      <c r="P27" s="17"/>
      <c r="Q27" s="17"/>
      <c r="R27" s="17"/>
      <c r="S27" s="17"/>
      <c r="T27" s="17"/>
      <c r="U27" s="17"/>
      <c r="V27" s="17"/>
      <c r="W27" s="17"/>
      <c r="X27" s="17"/>
      <c r="Y27" s="17"/>
      <c r="Z27" s="17"/>
    </row>
    <row r="28" spans="1:26" ht="16.5" customHeight="1" x14ac:dyDescent="0.2">
      <c r="A28" s="141"/>
      <c r="B28" s="101" t="s">
        <v>611</v>
      </c>
      <c r="C28" s="101"/>
      <c r="D28" s="101"/>
      <c r="E28" s="108"/>
      <c r="F28" s="12"/>
      <c r="G28" s="103"/>
      <c r="H28" s="149"/>
      <c r="I28" s="20"/>
      <c r="J28" s="20"/>
      <c r="K28" s="17"/>
      <c r="L28" s="17"/>
      <c r="M28" s="17"/>
      <c r="N28" s="17"/>
      <c r="O28" s="17"/>
      <c r="P28" s="17"/>
      <c r="Q28" s="17"/>
      <c r="R28" s="17"/>
      <c r="S28" s="17"/>
      <c r="T28" s="17"/>
      <c r="U28" s="17"/>
      <c r="V28" s="17"/>
      <c r="W28" s="17"/>
      <c r="X28" s="17"/>
      <c r="Y28" s="17"/>
      <c r="Z28" s="17"/>
    </row>
    <row r="29" spans="1:26" ht="6.75" customHeight="1" x14ac:dyDescent="0.2">
      <c r="A29" s="150"/>
      <c r="B29" s="101"/>
      <c r="C29" s="101"/>
      <c r="D29" s="101"/>
      <c r="E29" s="101"/>
      <c r="F29" s="124"/>
      <c r="G29" s="101"/>
      <c r="H29" s="149"/>
      <c r="I29" s="20"/>
      <c r="J29" s="20"/>
      <c r="K29" s="17"/>
      <c r="L29" s="17"/>
      <c r="M29" s="17"/>
      <c r="N29" s="17"/>
      <c r="O29" s="17"/>
      <c r="P29" s="17"/>
      <c r="Q29" s="17"/>
      <c r="R29" s="17"/>
      <c r="S29" s="17"/>
      <c r="T29" s="17"/>
      <c r="U29" s="17"/>
      <c r="V29" s="17"/>
      <c r="W29" s="17"/>
      <c r="X29" s="17"/>
      <c r="Y29" s="17"/>
      <c r="Z29" s="17"/>
    </row>
    <row r="30" spans="1:26" x14ac:dyDescent="0.2">
      <c r="A30" s="141" t="s">
        <v>607</v>
      </c>
      <c r="B30" s="101"/>
      <c r="C30" s="101"/>
      <c r="D30" s="101"/>
      <c r="E30" s="108"/>
      <c r="F30" s="12"/>
      <c r="G30" s="103"/>
      <c r="H30" s="149"/>
      <c r="I30" s="20"/>
      <c r="J30" s="20"/>
      <c r="K30" s="17"/>
      <c r="L30" s="17"/>
      <c r="M30" s="17"/>
      <c r="N30" s="17"/>
      <c r="O30" s="17"/>
      <c r="P30" s="17"/>
      <c r="Q30" s="17"/>
      <c r="R30" s="17"/>
      <c r="S30" s="17"/>
      <c r="T30" s="17"/>
      <c r="U30" s="17"/>
      <c r="V30" s="17"/>
      <c r="W30" s="17"/>
      <c r="X30" s="17"/>
      <c r="Y30" s="17"/>
      <c r="Z30" s="17"/>
    </row>
    <row r="31" spans="1:26" ht="6.95" customHeight="1" x14ac:dyDescent="0.2">
      <c r="A31" s="150"/>
      <c r="B31" s="101"/>
      <c r="C31" s="101"/>
      <c r="D31" s="101"/>
      <c r="E31" s="101"/>
      <c r="F31" s="121"/>
      <c r="G31" s="101"/>
      <c r="H31" s="149"/>
      <c r="I31" s="20"/>
      <c r="J31" s="20"/>
      <c r="K31" s="17"/>
      <c r="L31" s="17"/>
      <c r="M31" s="17"/>
      <c r="N31" s="17"/>
      <c r="O31" s="17"/>
      <c r="P31" s="17"/>
      <c r="Q31" s="17"/>
      <c r="R31" s="17"/>
      <c r="S31" s="17"/>
      <c r="T31" s="17"/>
      <c r="U31" s="17"/>
      <c r="V31" s="17"/>
      <c r="W31" s="17"/>
      <c r="X31" s="17"/>
      <c r="Y31" s="17"/>
      <c r="Z31" s="17"/>
    </row>
    <row r="32" spans="1:26" x14ac:dyDescent="0.2">
      <c r="A32" s="151" t="s">
        <v>608</v>
      </c>
      <c r="B32" s="101"/>
      <c r="C32" s="101"/>
      <c r="D32" s="101"/>
      <c r="E32" s="101"/>
      <c r="F32" s="122"/>
      <c r="G32" s="101"/>
      <c r="H32" s="149"/>
      <c r="I32" s="20"/>
      <c r="J32" s="20"/>
      <c r="K32" s="17"/>
      <c r="L32" s="17"/>
      <c r="M32" s="17"/>
      <c r="N32" s="17"/>
      <c r="O32" s="17"/>
      <c r="P32" s="17"/>
      <c r="Q32" s="17"/>
      <c r="R32" s="17"/>
      <c r="S32" s="17"/>
      <c r="T32" s="17"/>
      <c r="U32" s="17"/>
      <c r="V32" s="17"/>
      <c r="W32" s="17"/>
      <c r="X32" s="17"/>
      <c r="Y32" s="17"/>
      <c r="Z32" s="17"/>
    </row>
    <row r="33" spans="1:26" ht="16.5" customHeight="1" x14ac:dyDescent="0.2">
      <c r="A33" s="151" t="s">
        <v>598</v>
      </c>
      <c r="B33" s="263"/>
      <c r="C33" s="263"/>
      <c r="D33" s="263"/>
      <c r="E33" s="158"/>
      <c r="F33" s="12"/>
      <c r="G33" s="103"/>
      <c r="H33" s="149"/>
      <c r="I33" s="21"/>
      <c r="J33" s="22"/>
      <c r="K33" s="17"/>
      <c r="L33" s="17"/>
      <c r="M33" s="17"/>
      <c r="N33" s="17"/>
      <c r="O33" s="17"/>
      <c r="P33" s="17"/>
      <c r="Q33" s="17"/>
      <c r="R33" s="17"/>
      <c r="S33" s="17"/>
      <c r="T33" s="17"/>
      <c r="U33" s="17"/>
      <c r="V33" s="17"/>
      <c r="W33" s="17"/>
      <c r="X33" s="17"/>
      <c r="Y33" s="17"/>
      <c r="Z33" s="17"/>
    </row>
    <row r="34" spans="1:26" ht="6" customHeight="1" x14ac:dyDescent="0.2">
      <c r="A34" s="146"/>
      <c r="B34" s="101"/>
      <c r="C34" s="101"/>
      <c r="D34" s="101"/>
      <c r="E34" s="157"/>
      <c r="F34" s="268"/>
      <c r="G34" s="101"/>
      <c r="H34" s="149"/>
      <c r="I34" s="21"/>
      <c r="J34" s="22"/>
      <c r="K34" s="17"/>
      <c r="L34" s="17"/>
      <c r="M34" s="17"/>
      <c r="N34" s="17"/>
      <c r="O34" s="17"/>
      <c r="P34" s="17"/>
      <c r="Q34" s="17"/>
      <c r="R34" s="17"/>
      <c r="S34" s="17"/>
      <c r="T34" s="17"/>
      <c r="U34" s="17"/>
      <c r="V34" s="17"/>
      <c r="W34" s="17"/>
      <c r="X34" s="17"/>
      <c r="Y34" s="17"/>
      <c r="Z34" s="17"/>
    </row>
    <row r="35" spans="1:26" x14ac:dyDescent="0.2">
      <c r="A35" s="144" t="s">
        <v>612</v>
      </c>
      <c r="B35" s="101"/>
      <c r="C35" s="101"/>
      <c r="D35" s="101"/>
      <c r="E35" s="108"/>
      <c r="F35" s="160">
        <f>F20+F22+F28+F26-F30-F33</f>
        <v>0</v>
      </c>
      <c r="G35" s="103"/>
      <c r="H35" s="149"/>
      <c r="I35" s="20"/>
      <c r="J35" s="20"/>
      <c r="K35" s="17"/>
      <c r="L35" s="17"/>
      <c r="M35" s="17"/>
      <c r="N35" s="17"/>
      <c r="O35" s="17"/>
      <c r="P35" s="17"/>
      <c r="Q35" s="17"/>
      <c r="R35" s="17"/>
      <c r="S35" s="17"/>
      <c r="T35" s="17"/>
      <c r="U35" s="17"/>
      <c r="V35" s="17"/>
      <c r="W35" s="17"/>
      <c r="X35" s="17"/>
      <c r="Y35" s="17"/>
      <c r="Z35" s="17"/>
    </row>
    <row r="36" spans="1:26" ht="6.95" customHeight="1" thickBot="1" x14ac:dyDescent="0.25">
      <c r="A36" s="146"/>
      <c r="B36" s="101"/>
      <c r="C36" s="101"/>
      <c r="D36" s="101"/>
      <c r="E36" s="114"/>
      <c r="F36" s="107"/>
      <c r="G36" s="101"/>
      <c r="H36" s="143"/>
      <c r="I36" s="20"/>
      <c r="J36" s="20"/>
      <c r="K36" s="17"/>
      <c r="L36" s="17"/>
      <c r="M36" s="17"/>
      <c r="N36" s="17"/>
      <c r="O36" s="17"/>
      <c r="P36" s="17"/>
      <c r="Q36" s="17"/>
      <c r="R36" s="17"/>
      <c r="S36" s="17"/>
      <c r="T36" s="17"/>
      <c r="U36" s="17"/>
      <c r="V36" s="17"/>
      <c r="W36" s="17"/>
      <c r="X36" s="17"/>
      <c r="Y36" s="17"/>
      <c r="Z36" s="17"/>
    </row>
    <row r="37" spans="1:26" ht="16.5" thickBot="1" x14ac:dyDescent="0.3">
      <c r="A37" s="152" t="s">
        <v>613</v>
      </c>
      <c r="B37" s="112"/>
      <c r="C37" s="101"/>
      <c r="D37" s="101"/>
      <c r="E37" s="114"/>
      <c r="F37" s="101"/>
      <c r="G37" s="108"/>
      <c r="H37" s="31" t="str">
        <f>IF(ISNUMBER(F63),ROUND(F35/$F$63,0),"Enter ADM in Cell F63")</f>
        <v>Enter ADM in Cell F63</v>
      </c>
      <c r="I37" s="20"/>
      <c r="J37" s="20"/>
      <c r="K37" s="17"/>
      <c r="L37" s="17"/>
      <c r="M37" s="17"/>
      <c r="N37" s="17"/>
      <c r="O37" s="17"/>
      <c r="P37" s="17"/>
      <c r="Q37" s="17"/>
      <c r="R37" s="17"/>
      <c r="S37" s="17"/>
      <c r="T37" s="17"/>
      <c r="U37" s="17"/>
      <c r="V37" s="17"/>
      <c r="W37" s="17"/>
      <c r="X37" s="17"/>
      <c r="Y37" s="17"/>
      <c r="Z37" s="17"/>
    </row>
    <row r="38" spans="1:26" ht="21.95" customHeight="1" x14ac:dyDescent="0.2">
      <c r="A38" s="146"/>
      <c r="B38" s="101"/>
      <c r="C38" s="101"/>
      <c r="D38" s="101"/>
      <c r="E38" s="114"/>
      <c r="F38" s="102"/>
      <c r="G38" s="101"/>
      <c r="H38" s="153"/>
      <c r="I38" s="21"/>
      <c r="J38" s="22"/>
      <c r="K38" s="17"/>
      <c r="L38" s="17"/>
      <c r="M38" s="17"/>
      <c r="N38" s="17"/>
      <c r="O38" s="17"/>
      <c r="P38" s="17"/>
      <c r="Q38" s="17"/>
      <c r="R38" s="17"/>
      <c r="S38" s="17"/>
      <c r="T38" s="17"/>
      <c r="U38" s="17"/>
      <c r="V38" s="17"/>
      <c r="W38" s="17"/>
      <c r="X38" s="17"/>
      <c r="Y38" s="17"/>
      <c r="Z38" s="17"/>
    </row>
    <row r="39" spans="1:26" x14ac:dyDescent="0.2">
      <c r="A39" s="334" t="s">
        <v>588</v>
      </c>
      <c r="B39" s="335"/>
      <c r="C39" s="335"/>
      <c r="D39" s="335"/>
      <c r="E39" s="159"/>
      <c r="F39" s="12" t="e">
        <f>VLOOKUP($A$5,'Source Data'!A2:T137,20,FALSE)</f>
        <v>#N/A</v>
      </c>
      <c r="G39" s="103"/>
      <c r="H39" s="131"/>
      <c r="I39" s="20"/>
      <c r="J39" s="20"/>
      <c r="K39" s="17"/>
      <c r="L39" s="17"/>
      <c r="M39" s="17"/>
      <c r="N39" s="17"/>
      <c r="O39" s="17"/>
      <c r="P39" s="17"/>
      <c r="Q39" s="17"/>
      <c r="R39" s="17"/>
      <c r="S39" s="17"/>
      <c r="T39" s="17"/>
      <c r="U39" s="17"/>
      <c r="V39" s="17"/>
      <c r="W39" s="17"/>
      <c r="X39" s="17"/>
      <c r="Y39" s="17"/>
      <c r="Z39" s="17"/>
    </row>
    <row r="40" spans="1:26" ht="6.95" customHeight="1" thickBot="1" x14ac:dyDescent="0.25">
      <c r="A40" s="146"/>
      <c r="B40" s="101"/>
      <c r="C40" s="101"/>
      <c r="D40" s="101"/>
      <c r="E40" s="114"/>
      <c r="F40" s="107"/>
      <c r="G40" s="101"/>
      <c r="H40" s="154"/>
      <c r="I40" s="20"/>
      <c r="J40" s="20"/>
      <c r="K40" s="17"/>
      <c r="L40" s="17"/>
      <c r="M40" s="17"/>
      <c r="N40" s="17"/>
      <c r="O40" s="17"/>
      <c r="P40" s="17"/>
      <c r="Q40" s="17"/>
      <c r="R40" s="17"/>
      <c r="S40" s="17"/>
      <c r="T40" s="17"/>
      <c r="U40" s="17"/>
      <c r="V40" s="17"/>
      <c r="W40" s="17"/>
      <c r="X40" s="17"/>
      <c r="Y40" s="17"/>
      <c r="Z40" s="17"/>
    </row>
    <row r="41" spans="1:26" ht="16.5" thickBot="1" x14ac:dyDescent="0.3">
      <c r="A41" s="152" t="s">
        <v>3</v>
      </c>
      <c r="B41" s="112"/>
      <c r="C41" s="101"/>
      <c r="D41" s="101"/>
      <c r="E41" s="114"/>
      <c r="F41" s="101"/>
      <c r="G41" s="108"/>
      <c r="H41" s="31" t="str">
        <f>IF(ISNUMBER(F63),(ROUND(F39/$F$63,0)),"Enter ADM in Cell F63")</f>
        <v>Enter ADM in Cell F63</v>
      </c>
      <c r="I41" s="20"/>
      <c r="J41" s="20"/>
      <c r="K41" s="17"/>
      <c r="L41" s="17"/>
      <c r="M41" s="17"/>
      <c r="N41" s="17"/>
      <c r="O41" s="17"/>
      <c r="P41" s="17"/>
      <c r="Q41" s="17"/>
      <c r="R41" s="17"/>
      <c r="S41" s="17"/>
      <c r="T41" s="17"/>
      <c r="U41" s="17"/>
      <c r="V41" s="17"/>
      <c r="W41" s="17"/>
      <c r="X41" s="17"/>
      <c r="Y41" s="17"/>
      <c r="Z41" s="17"/>
    </row>
    <row r="42" spans="1:26" ht="21.95" customHeight="1" x14ac:dyDescent="0.2">
      <c r="A42" s="146"/>
      <c r="B42" s="101"/>
      <c r="C42" s="101"/>
      <c r="D42" s="101"/>
      <c r="E42" s="114"/>
      <c r="F42" s="102"/>
      <c r="G42" s="101"/>
      <c r="H42" s="153"/>
      <c r="I42" s="20"/>
      <c r="J42" s="20"/>
      <c r="K42" s="17"/>
      <c r="L42" s="17"/>
      <c r="M42" s="17"/>
      <c r="N42" s="17"/>
      <c r="O42" s="17"/>
      <c r="P42" s="17"/>
      <c r="Q42" s="17"/>
      <c r="R42" s="17"/>
      <c r="S42" s="17"/>
      <c r="T42" s="17"/>
      <c r="U42" s="17"/>
      <c r="V42" s="17"/>
      <c r="W42" s="17"/>
      <c r="X42" s="17"/>
      <c r="Y42" s="17"/>
      <c r="Z42" s="17"/>
    </row>
    <row r="43" spans="1:26" x14ac:dyDescent="0.2">
      <c r="A43" s="334" t="s">
        <v>648</v>
      </c>
      <c r="B43" s="335"/>
      <c r="C43" s="335"/>
      <c r="D43" s="101"/>
      <c r="E43" s="113"/>
      <c r="F43" s="12"/>
      <c r="G43" s="103"/>
      <c r="H43" s="131"/>
      <c r="I43" s="20"/>
      <c r="J43" s="20"/>
      <c r="K43" s="17"/>
      <c r="L43" s="17"/>
      <c r="M43" s="17"/>
      <c r="N43" s="17"/>
      <c r="O43" s="17"/>
      <c r="P43" s="17"/>
      <c r="Q43" s="17"/>
      <c r="R43" s="17"/>
      <c r="S43" s="17"/>
      <c r="T43" s="17"/>
      <c r="U43" s="17"/>
      <c r="V43" s="17"/>
      <c r="W43" s="17"/>
      <c r="X43" s="17"/>
      <c r="Y43" s="17"/>
      <c r="Z43" s="17"/>
    </row>
    <row r="44" spans="1:26" ht="6.95" customHeight="1" x14ac:dyDescent="0.2">
      <c r="A44" s="264"/>
      <c r="B44" s="255"/>
      <c r="C44" s="255"/>
      <c r="D44" s="255"/>
      <c r="E44" s="255"/>
      <c r="F44" s="124"/>
      <c r="G44" s="255"/>
      <c r="H44" s="265"/>
      <c r="I44" s="20"/>
      <c r="J44" s="20"/>
      <c r="K44" s="17"/>
      <c r="L44" s="17"/>
      <c r="M44" s="17"/>
      <c r="N44" s="17"/>
      <c r="O44" s="17"/>
      <c r="P44" s="17"/>
      <c r="Q44" s="17"/>
      <c r="R44" s="17"/>
      <c r="S44" s="17"/>
      <c r="T44" s="17"/>
      <c r="U44" s="17"/>
      <c r="V44" s="17"/>
      <c r="W44" s="17"/>
      <c r="X44" s="17"/>
      <c r="Y44" s="17"/>
      <c r="Z44" s="17"/>
    </row>
    <row r="45" spans="1:26" x14ac:dyDescent="0.2">
      <c r="A45" s="141" t="s">
        <v>4</v>
      </c>
      <c r="B45" s="101"/>
      <c r="C45" s="255"/>
      <c r="D45" s="255"/>
      <c r="E45" s="266"/>
      <c r="F45" s="12"/>
      <c r="G45" s="267"/>
      <c r="H45" s="265"/>
      <c r="I45" s="20"/>
      <c r="J45" s="20"/>
      <c r="K45" s="17"/>
      <c r="L45" s="17"/>
      <c r="M45" s="17"/>
      <c r="N45" s="17"/>
      <c r="O45" s="17"/>
      <c r="P45" s="17"/>
      <c r="Q45" s="17"/>
      <c r="R45" s="17"/>
      <c r="S45" s="17"/>
      <c r="T45" s="17"/>
      <c r="U45" s="17"/>
      <c r="V45" s="17"/>
      <c r="W45" s="17"/>
      <c r="X45" s="17"/>
      <c r="Y45" s="17"/>
      <c r="Z45" s="17"/>
    </row>
    <row r="46" spans="1:26" ht="6.95" customHeight="1" x14ac:dyDescent="0.2">
      <c r="A46" s="141"/>
      <c r="B46" s="101"/>
      <c r="C46" s="255"/>
      <c r="D46" s="255"/>
      <c r="E46" s="255"/>
      <c r="F46" s="124"/>
      <c r="G46" s="255"/>
      <c r="H46" s="265"/>
      <c r="I46" s="20"/>
      <c r="J46" s="20"/>
      <c r="K46" s="17"/>
      <c r="L46" s="17"/>
      <c r="M46" s="17"/>
      <c r="N46" s="17"/>
      <c r="O46" s="17"/>
      <c r="P46" s="17"/>
      <c r="Q46" s="17"/>
      <c r="R46" s="17"/>
      <c r="S46" s="17"/>
      <c r="T46" s="17"/>
      <c r="U46" s="17"/>
      <c r="V46" s="17"/>
      <c r="W46" s="17"/>
      <c r="X46" s="17"/>
      <c r="Y46" s="17"/>
      <c r="Z46" s="17"/>
    </row>
    <row r="47" spans="1:26" x14ac:dyDescent="0.2">
      <c r="A47" s="141" t="s">
        <v>5</v>
      </c>
      <c r="B47" s="101"/>
      <c r="C47" s="255"/>
      <c r="D47" s="255"/>
      <c r="E47" s="266"/>
      <c r="F47" s="12"/>
      <c r="G47" s="267"/>
      <c r="H47" s="265"/>
      <c r="I47" s="20"/>
      <c r="J47" s="20"/>
      <c r="K47" s="17"/>
      <c r="L47" s="17"/>
      <c r="M47" s="17"/>
      <c r="N47" s="17"/>
      <c r="O47" s="17"/>
      <c r="P47" s="17"/>
      <c r="Q47" s="17"/>
      <c r="R47" s="17"/>
      <c r="S47" s="17"/>
      <c r="T47" s="17"/>
      <c r="U47" s="17"/>
      <c r="V47" s="17"/>
      <c r="W47" s="17"/>
      <c r="X47" s="17"/>
      <c r="Y47" s="17"/>
      <c r="Z47" s="17"/>
    </row>
    <row r="48" spans="1:26" ht="6.95" customHeight="1" x14ac:dyDescent="0.2">
      <c r="A48" s="141"/>
      <c r="B48" s="101"/>
      <c r="C48" s="255"/>
      <c r="D48" s="255"/>
      <c r="E48" s="255"/>
      <c r="F48" s="124"/>
      <c r="G48" s="255"/>
      <c r="H48" s="265"/>
      <c r="I48" s="20"/>
      <c r="J48" s="20"/>
      <c r="K48" s="17"/>
      <c r="L48" s="17"/>
      <c r="M48" s="17"/>
      <c r="N48" s="17"/>
      <c r="O48" s="17"/>
      <c r="P48" s="17"/>
      <c r="Q48" s="17"/>
      <c r="R48" s="17"/>
      <c r="S48" s="17"/>
      <c r="T48" s="17"/>
      <c r="U48" s="17"/>
      <c r="V48" s="17"/>
      <c r="W48" s="17"/>
      <c r="X48" s="17"/>
      <c r="Y48" s="17"/>
      <c r="Z48" s="17"/>
    </row>
    <row r="49" spans="1:26" x14ac:dyDescent="0.2">
      <c r="A49" s="141" t="s">
        <v>593</v>
      </c>
      <c r="B49" s="101"/>
      <c r="C49" s="255"/>
      <c r="D49" s="255"/>
      <c r="E49" s="266"/>
      <c r="F49" s="12"/>
      <c r="G49" s="267"/>
      <c r="H49" s="265"/>
      <c r="I49" s="20"/>
      <c r="J49" s="20"/>
      <c r="K49" s="17"/>
      <c r="L49" s="17"/>
      <c r="M49" s="17"/>
      <c r="N49" s="17"/>
      <c r="O49" s="17"/>
      <c r="P49" s="17"/>
      <c r="Q49" s="17"/>
      <c r="R49" s="17"/>
      <c r="S49" s="17"/>
      <c r="T49" s="17"/>
      <c r="U49" s="17"/>
      <c r="V49" s="17"/>
      <c r="W49" s="17"/>
      <c r="X49" s="17"/>
      <c r="Y49" s="17"/>
      <c r="Z49" s="17"/>
    </row>
    <row r="50" spans="1:26" ht="6.95" customHeight="1" x14ac:dyDescent="0.2">
      <c r="A50" s="146"/>
      <c r="B50" s="101"/>
      <c r="C50" s="255"/>
      <c r="D50" s="255"/>
      <c r="E50" s="255"/>
      <c r="F50" s="268"/>
      <c r="G50" s="255"/>
      <c r="H50" s="265"/>
      <c r="I50" s="21"/>
      <c r="J50" s="22"/>
      <c r="K50" s="17"/>
      <c r="L50" s="17"/>
      <c r="M50" s="17"/>
      <c r="N50" s="17"/>
      <c r="O50" s="17"/>
      <c r="P50" s="17"/>
      <c r="Q50" s="17"/>
      <c r="R50" s="17"/>
      <c r="S50" s="17"/>
      <c r="T50" s="17"/>
      <c r="U50" s="17"/>
      <c r="V50" s="17"/>
      <c r="W50" s="17"/>
      <c r="X50" s="17"/>
      <c r="Y50" s="17"/>
      <c r="Z50" s="17"/>
    </row>
    <row r="51" spans="1:26" x14ac:dyDescent="0.2">
      <c r="A51" s="144" t="s">
        <v>429</v>
      </c>
      <c r="B51" s="101"/>
      <c r="C51" s="255"/>
      <c r="D51" s="255"/>
      <c r="E51" s="266"/>
      <c r="F51" s="160">
        <f>F43+F45-F47-F49</f>
        <v>0</v>
      </c>
      <c r="G51" s="267"/>
      <c r="H51" s="265"/>
      <c r="I51" s="20"/>
      <c r="J51" s="20"/>
      <c r="K51" s="17"/>
      <c r="L51" s="17"/>
      <c r="M51" s="17"/>
      <c r="N51" s="17"/>
      <c r="O51" s="17"/>
      <c r="P51" s="17"/>
      <c r="Q51" s="17"/>
      <c r="R51" s="17"/>
      <c r="S51" s="17"/>
      <c r="T51" s="17"/>
      <c r="U51" s="17"/>
      <c r="V51" s="17"/>
      <c r="W51" s="17"/>
      <c r="X51" s="17"/>
      <c r="Y51" s="17"/>
      <c r="Z51" s="17"/>
    </row>
    <row r="52" spans="1:26" ht="6.95" customHeight="1" thickBot="1" x14ac:dyDescent="0.25">
      <c r="A52" s="146"/>
      <c r="B52" s="101"/>
      <c r="C52" s="255"/>
      <c r="D52" s="255"/>
      <c r="E52" s="255"/>
      <c r="F52" s="269"/>
      <c r="G52" s="255"/>
      <c r="H52" s="270"/>
      <c r="I52" s="20"/>
      <c r="J52" s="20"/>
      <c r="K52" s="17"/>
      <c r="L52" s="17"/>
      <c r="M52" s="17"/>
      <c r="N52" s="17"/>
      <c r="O52" s="17"/>
      <c r="P52" s="17"/>
      <c r="Q52" s="17"/>
      <c r="R52" s="17"/>
      <c r="S52" s="17"/>
      <c r="T52" s="17"/>
      <c r="U52" s="17"/>
      <c r="V52" s="17"/>
      <c r="W52" s="17"/>
      <c r="X52" s="17"/>
      <c r="Y52" s="17"/>
      <c r="Z52" s="17"/>
    </row>
    <row r="53" spans="1:26" ht="16.5" thickBot="1" x14ac:dyDescent="0.3">
      <c r="A53" s="152" t="s">
        <v>428</v>
      </c>
      <c r="B53" s="112"/>
      <c r="C53" s="255"/>
      <c r="D53" s="255"/>
      <c r="E53" s="255"/>
      <c r="F53" s="255"/>
      <c r="G53" s="266"/>
      <c r="H53" s="31" t="str">
        <f>IF(ISNUMBER(F63),(ROUND(F51/$F$63,0)),"Enter ADM in Cell F63")</f>
        <v>Enter ADM in Cell F63</v>
      </c>
      <c r="I53" s="20"/>
      <c r="J53" s="20"/>
      <c r="K53" s="17"/>
      <c r="L53" s="17"/>
      <c r="M53" s="17"/>
      <c r="N53" s="17"/>
      <c r="O53" s="17"/>
      <c r="P53" s="17"/>
      <c r="Q53" s="17"/>
      <c r="R53" s="17"/>
      <c r="S53" s="17"/>
      <c r="T53" s="17"/>
      <c r="U53" s="17"/>
      <c r="V53" s="17"/>
      <c r="W53" s="17"/>
      <c r="X53" s="17"/>
      <c r="Y53" s="17"/>
      <c r="Z53" s="17"/>
    </row>
    <row r="54" spans="1:26" ht="21.95" customHeight="1" x14ac:dyDescent="0.2">
      <c r="A54" s="264"/>
      <c r="B54" s="255"/>
      <c r="C54" s="255"/>
      <c r="D54" s="255"/>
      <c r="E54" s="255"/>
      <c r="F54" s="271"/>
      <c r="G54" s="255"/>
      <c r="H54" s="272"/>
      <c r="I54" s="21"/>
      <c r="J54" s="22"/>
      <c r="K54" s="17"/>
      <c r="L54" s="17"/>
      <c r="M54" s="17"/>
      <c r="N54" s="17"/>
      <c r="O54" s="17"/>
      <c r="P54" s="17"/>
      <c r="Q54" s="17"/>
      <c r="R54" s="17"/>
      <c r="S54" s="17"/>
      <c r="T54" s="17"/>
      <c r="U54" s="17"/>
      <c r="V54" s="17"/>
      <c r="W54" s="17"/>
      <c r="X54" s="17"/>
      <c r="Y54" s="17"/>
      <c r="Z54" s="17"/>
    </row>
    <row r="55" spans="1:26" x14ac:dyDescent="0.2">
      <c r="A55" s="146" t="s">
        <v>279</v>
      </c>
      <c r="B55" s="255"/>
      <c r="C55" s="255"/>
      <c r="D55" s="255"/>
      <c r="E55" s="266"/>
      <c r="F55" s="160" t="e">
        <f>H18-F35-F39-F51</f>
        <v>#N/A</v>
      </c>
      <c r="G55" s="267"/>
      <c r="H55" s="265"/>
      <c r="I55" s="20"/>
      <c r="J55" s="20"/>
      <c r="K55" s="17"/>
      <c r="L55" s="17"/>
      <c r="M55" s="17"/>
      <c r="N55" s="17"/>
      <c r="O55" s="17"/>
      <c r="P55" s="17"/>
      <c r="Q55" s="17"/>
      <c r="R55" s="17"/>
      <c r="S55" s="17"/>
      <c r="T55" s="17"/>
      <c r="U55" s="17"/>
      <c r="V55" s="17"/>
      <c r="W55" s="17"/>
      <c r="X55" s="17"/>
      <c r="Y55" s="17"/>
      <c r="Z55" s="17"/>
    </row>
    <row r="56" spans="1:26" ht="6.95" customHeight="1" thickBot="1" x14ac:dyDescent="0.25">
      <c r="A56" s="264"/>
      <c r="B56" s="255"/>
      <c r="C56" s="255"/>
      <c r="D56" s="255"/>
      <c r="E56" s="255"/>
      <c r="F56" s="269"/>
      <c r="G56" s="255"/>
      <c r="H56" s="270"/>
      <c r="I56" s="20"/>
      <c r="J56" s="20"/>
      <c r="K56" s="17"/>
      <c r="L56" s="17"/>
      <c r="M56" s="17"/>
      <c r="N56" s="17"/>
      <c r="O56" s="17"/>
      <c r="P56" s="17"/>
      <c r="Q56" s="17"/>
      <c r="R56" s="17"/>
      <c r="S56" s="17"/>
      <c r="T56" s="17"/>
      <c r="U56" s="17"/>
      <c r="V56" s="17"/>
      <c r="W56" s="17"/>
      <c r="X56" s="17"/>
      <c r="Y56" s="17"/>
      <c r="Z56" s="17"/>
    </row>
    <row r="57" spans="1:26" ht="16.5" thickBot="1" x14ac:dyDescent="0.3">
      <c r="A57" s="152" t="s">
        <v>137</v>
      </c>
      <c r="B57" s="112"/>
      <c r="C57" s="255"/>
      <c r="D57" s="255"/>
      <c r="E57" s="255"/>
      <c r="F57" s="255"/>
      <c r="G57" s="266"/>
      <c r="H57" s="31" t="str">
        <f>IF(ISNUMBER(F63),(ROUND(F55/$F$63,0)), "Enter ADM in Cell F63")</f>
        <v>Enter ADM in Cell F63</v>
      </c>
      <c r="I57" s="20"/>
      <c r="J57" s="20"/>
      <c r="K57" s="17"/>
      <c r="L57" s="17"/>
      <c r="M57" s="17"/>
      <c r="N57" s="17"/>
      <c r="O57" s="17"/>
      <c r="P57" s="17"/>
      <c r="Q57" s="17"/>
      <c r="R57" s="17"/>
      <c r="S57" s="17"/>
      <c r="T57" s="17"/>
      <c r="U57" s="17"/>
      <c r="V57" s="17"/>
      <c r="W57" s="17"/>
      <c r="X57" s="17"/>
      <c r="Y57" s="17"/>
      <c r="Z57" s="17"/>
    </row>
    <row r="58" spans="1:26" ht="21.95" customHeight="1" x14ac:dyDescent="0.2">
      <c r="A58" s="264"/>
      <c r="B58" s="255"/>
      <c r="C58" s="255"/>
      <c r="D58" s="255"/>
      <c r="E58" s="255"/>
      <c r="F58" s="271"/>
      <c r="G58" s="255"/>
      <c r="H58" s="272"/>
      <c r="I58" s="21"/>
      <c r="J58" s="22"/>
      <c r="K58" s="17"/>
      <c r="L58" s="17"/>
      <c r="M58" s="17"/>
      <c r="N58" s="17"/>
      <c r="O58" s="17"/>
      <c r="P58" s="17"/>
      <c r="Q58" s="17"/>
      <c r="R58" s="17"/>
      <c r="S58" s="17"/>
      <c r="T58" s="17"/>
      <c r="U58" s="17"/>
      <c r="V58" s="17"/>
      <c r="W58" s="17"/>
      <c r="X58" s="17"/>
      <c r="Y58" s="17"/>
      <c r="Z58" s="17"/>
    </row>
    <row r="59" spans="1:26" x14ac:dyDescent="0.2">
      <c r="A59" s="146" t="s">
        <v>6</v>
      </c>
      <c r="B59" s="255"/>
      <c r="C59" s="255"/>
      <c r="D59" s="255"/>
      <c r="E59" s="266"/>
      <c r="F59" s="161">
        <f>H18</f>
        <v>0</v>
      </c>
      <c r="G59" s="267"/>
      <c r="H59" s="265"/>
      <c r="I59" s="20"/>
      <c r="J59" s="20"/>
      <c r="K59" s="17"/>
      <c r="L59" s="17"/>
      <c r="M59" s="17"/>
      <c r="N59" s="17"/>
      <c r="O59" s="17"/>
      <c r="P59" s="17"/>
      <c r="Q59" s="17"/>
      <c r="R59" s="17"/>
      <c r="S59" s="17"/>
      <c r="T59" s="17"/>
      <c r="U59" s="17"/>
      <c r="V59" s="17"/>
      <c r="W59" s="17"/>
      <c r="X59" s="17"/>
      <c r="Y59" s="17"/>
      <c r="Z59" s="17"/>
    </row>
    <row r="60" spans="1:26" ht="6.95" customHeight="1" thickBot="1" x14ac:dyDescent="0.25">
      <c r="A60" s="264"/>
      <c r="B60" s="255"/>
      <c r="C60" s="255"/>
      <c r="D60" s="255"/>
      <c r="E60" s="255"/>
      <c r="F60" s="269"/>
      <c r="G60" s="255"/>
      <c r="H60" s="270"/>
      <c r="I60" s="20"/>
      <c r="J60" s="20"/>
      <c r="K60" s="17"/>
      <c r="L60" s="17"/>
      <c r="M60" s="17"/>
      <c r="N60" s="17"/>
      <c r="O60" s="17"/>
      <c r="P60" s="17"/>
      <c r="Q60" s="17"/>
      <c r="R60" s="17"/>
      <c r="S60" s="17"/>
      <c r="T60" s="17"/>
      <c r="U60" s="17"/>
      <c r="V60" s="17"/>
      <c r="W60" s="17"/>
      <c r="X60" s="17"/>
      <c r="Y60" s="17"/>
      <c r="Z60" s="17"/>
    </row>
    <row r="61" spans="1:26" ht="16.5" thickBot="1" x14ac:dyDescent="0.3">
      <c r="A61" s="152" t="s">
        <v>7</v>
      </c>
      <c r="B61" s="112"/>
      <c r="C61" s="255"/>
      <c r="D61" s="255"/>
      <c r="E61" s="255"/>
      <c r="F61" s="255"/>
      <c r="G61" s="266"/>
      <c r="H61" s="31" t="str">
        <f>IF(ISNUMBER(F63),(ROUND(F59/$F$63,0)),"Enter ADM in Cell F63")</f>
        <v>Enter ADM in Cell F63</v>
      </c>
      <c r="I61" s="20"/>
      <c r="J61" s="20"/>
      <c r="K61" s="17"/>
      <c r="L61" s="17"/>
      <c r="M61" s="17"/>
      <c r="N61" s="17"/>
      <c r="O61" s="17"/>
      <c r="P61" s="17"/>
      <c r="Q61" s="17"/>
      <c r="R61" s="17"/>
      <c r="S61" s="17"/>
      <c r="T61" s="17"/>
      <c r="U61" s="17"/>
      <c r="V61" s="17"/>
      <c r="W61" s="17"/>
      <c r="X61" s="17"/>
      <c r="Y61" s="17"/>
      <c r="Z61" s="17"/>
    </row>
    <row r="62" spans="1:26" ht="21.95" customHeight="1" x14ac:dyDescent="0.2">
      <c r="A62" s="264"/>
      <c r="B62" s="255"/>
      <c r="C62" s="255"/>
      <c r="D62" s="255"/>
      <c r="E62" s="255"/>
      <c r="F62" s="271"/>
      <c r="G62" s="255"/>
      <c r="H62" s="272"/>
      <c r="I62" s="20"/>
      <c r="J62" s="20"/>
      <c r="K62" s="17"/>
      <c r="L62" s="17"/>
      <c r="M62" s="17"/>
      <c r="N62" s="17"/>
      <c r="O62" s="17"/>
      <c r="P62" s="17"/>
      <c r="Q62" s="17"/>
      <c r="R62" s="17"/>
      <c r="S62" s="17"/>
      <c r="T62" s="17"/>
      <c r="U62" s="17"/>
      <c r="V62" s="17"/>
      <c r="W62" s="17"/>
      <c r="X62" s="17"/>
      <c r="Y62" s="17"/>
      <c r="Z62" s="17"/>
    </row>
    <row r="63" spans="1:26" ht="15.75" x14ac:dyDescent="0.25">
      <c r="A63" s="254" t="s">
        <v>634</v>
      </c>
      <c r="B63" s="255"/>
      <c r="C63" s="255"/>
      <c r="D63" s="255"/>
      <c r="E63" s="266"/>
      <c r="F63" s="284"/>
      <c r="G63" s="267"/>
      <c r="H63" s="131"/>
      <c r="I63" s="20"/>
      <c r="J63" s="20"/>
      <c r="K63" s="17"/>
      <c r="L63" s="17"/>
      <c r="M63" s="17"/>
      <c r="N63" s="17"/>
      <c r="O63" s="17"/>
      <c r="P63" s="17"/>
      <c r="Q63" s="17"/>
      <c r="R63" s="17"/>
      <c r="S63" s="17"/>
      <c r="T63" s="17"/>
      <c r="U63" s="17"/>
      <c r="V63" s="17"/>
      <c r="W63" s="17"/>
      <c r="X63" s="17"/>
      <c r="Y63" s="17"/>
      <c r="Z63" s="17"/>
    </row>
    <row r="64" spans="1:26" ht="15.75" thickBot="1" x14ac:dyDescent="0.25">
      <c r="A64" s="273"/>
      <c r="B64" s="274"/>
      <c r="C64" s="274"/>
      <c r="D64" s="274"/>
      <c r="E64" s="274"/>
      <c r="F64" s="275"/>
      <c r="G64" s="274"/>
      <c r="H64" s="276"/>
      <c r="I64" s="20"/>
      <c r="J64" s="20"/>
      <c r="K64" s="17"/>
      <c r="L64" s="17"/>
      <c r="M64" s="17"/>
      <c r="N64" s="17"/>
      <c r="O64" s="17"/>
      <c r="P64" s="17"/>
      <c r="Q64" s="17"/>
      <c r="R64" s="17"/>
      <c r="S64" s="17"/>
      <c r="T64" s="17"/>
      <c r="U64" s="17"/>
      <c r="V64" s="17"/>
      <c r="W64" s="17"/>
      <c r="X64" s="17"/>
      <c r="Y64" s="17"/>
      <c r="Z64" s="17"/>
    </row>
    <row r="65" spans="1:26" hidden="1" x14ac:dyDescent="0.2">
      <c r="A65" s="277"/>
      <c r="B65" s="277"/>
      <c r="C65" s="277"/>
      <c r="D65" s="277"/>
      <c r="E65" s="277"/>
      <c r="F65" s="277"/>
      <c r="G65" s="277"/>
      <c r="H65" s="277"/>
      <c r="I65" s="17"/>
      <c r="J65" s="17"/>
      <c r="K65" s="17"/>
      <c r="L65" s="17"/>
      <c r="M65" s="17"/>
      <c r="N65" s="17"/>
      <c r="O65" s="17"/>
      <c r="P65" s="17"/>
      <c r="Q65" s="17"/>
      <c r="R65" s="17"/>
      <c r="S65" s="17"/>
      <c r="T65" s="17"/>
      <c r="U65" s="17"/>
      <c r="V65" s="17"/>
      <c r="W65" s="17"/>
      <c r="X65" s="17"/>
      <c r="Y65" s="17"/>
      <c r="Z65" s="17"/>
    </row>
    <row r="66" spans="1:26" ht="15" customHeight="1" x14ac:dyDescent="0.2">
      <c r="A66" s="336" t="s">
        <v>606</v>
      </c>
      <c r="B66" s="337"/>
      <c r="C66" s="337"/>
      <c r="D66" s="337"/>
      <c r="E66" s="337"/>
      <c r="F66" s="337"/>
      <c r="G66" s="337"/>
      <c r="H66" s="338"/>
      <c r="I66" s="17"/>
      <c r="J66" s="17"/>
      <c r="K66" s="17"/>
      <c r="L66" s="17"/>
      <c r="M66" s="17"/>
      <c r="N66" s="17"/>
      <c r="O66" s="17"/>
      <c r="P66" s="17"/>
      <c r="Q66" s="17"/>
      <c r="R66" s="17"/>
      <c r="S66" s="17"/>
      <c r="T66" s="17"/>
      <c r="U66" s="17"/>
      <c r="V66" s="17"/>
      <c r="W66" s="17"/>
      <c r="X66" s="17"/>
      <c r="Y66" s="17"/>
      <c r="Z66" s="17"/>
    </row>
    <row r="67" spans="1:26" ht="171.75" customHeight="1" x14ac:dyDescent="0.2">
      <c r="A67" s="339" t="s">
        <v>632</v>
      </c>
      <c r="B67" s="340"/>
      <c r="C67" s="340"/>
      <c r="D67" s="340"/>
      <c r="E67" s="340"/>
      <c r="F67" s="340"/>
      <c r="G67" s="340"/>
      <c r="H67" s="341"/>
      <c r="I67" s="17"/>
      <c r="J67" s="17"/>
      <c r="K67" s="17"/>
      <c r="L67" s="17"/>
      <c r="M67" s="17"/>
      <c r="N67" s="17"/>
      <c r="O67" s="17"/>
      <c r="P67" s="17"/>
      <c r="Q67" s="17"/>
      <c r="R67" s="17"/>
      <c r="S67" s="17"/>
      <c r="T67" s="17"/>
      <c r="U67" s="17"/>
      <c r="V67" s="17"/>
      <c r="W67" s="17"/>
      <c r="X67" s="17"/>
      <c r="Y67" s="17"/>
      <c r="Z67" s="17"/>
    </row>
    <row r="68" spans="1:26" ht="234" customHeight="1" x14ac:dyDescent="0.2">
      <c r="A68" s="339" t="s">
        <v>639</v>
      </c>
      <c r="B68" s="340"/>
      <c r="C68" s="340"/>
      <c r="D68" s="340"/>
      <c r="E68" s="340"/>
      <c r="F68" s="340"/>
      <c r="G68" s="340"/>
      <c r="H68" s="341"/>
      <c r="I68" s="17"/>
      <c r="J68" s="17"/>
      <c r="K68" s="17"/>
      <c r="L68" s="17"/>
      <c r="M68" s="17"/>
      <c r="N68" s="17"/>
      <c r="O68" s="17"/>
      <c r="P68" s="17"/>
      <c r="Q68" s="17"/>
      <c r="R68" s="17"/>
      <c r="S68" s="17"/>
      <c r="T68" s="17"/>
      <c r="U68" s="17"/>
      <c r="V68" s="17"/>
      <c r="W68" s="17"/>
      <c r="X68" s="17"/>
      <c r="Y68" s="17"/>
      <c r="Z68" s="17"/>
    </row>
    <row r="69" spans="1:26" ht="60" customHeight="1" thickBot="1" x14ac:dyDescent="0.25">
      <c r="A69" s="342" t="s">
        <v>649</v>
      </c>
      <c r="B69" s="343"/>
      <c r="C69" s="343"/>
      <c r="D69" s="343"/>
      <c r="E69" s="343"/>
      <c r="F69" s="343"/>
      <c r="G69" s="343"/>
      <c r="H69" s="344"/>
      <c r="I69" s="17"/>
      <c r="J69" s="17"/>
      <c r="K69" s="17"/>
      <c r="L69" s="17"/>
      <c r="M69" s="17"/>
      <c r="N69" s="17"/>
      <c r="O69" s="17"/>
      <c r="P69" s="17"/>
      <c r="Q69" s="17"/>
      <c r="R69" s="17"/>
      <c r="S69" s="17"/>
      <c r="T69" s="17"/>
      <c r="U69" s="17"/>
      <c r="V69" s="17"/>
      <c r="W69" s="17"/>
      <c r="X69" s="17"/>
      <c r="Y69" s="17"/>
      <c r="Z69" s="17"/>
    </row>
    <row r="70" spans="1:26" x14ac:dyDescent="0.2">
      <c r="A70" s="249" t="s">
        <v>643</v>
      </c>
      <c r="B70" s="279"/>
      <c r="C70" s="279"/>
      <c r="D70" s="279"/>
      <c r="E70" s="279"/>
      <c r="F70" s="279"/>
      <c r="G70" s="279"/>
      <c r="H70" s="279"/>
      <c r="I70" s="17"/>
      <c r="J70" s="17"/>
      <c r="K70" s="17"/>
      <c r="L70" s="17"/>
      <c r="M70" s="17"/>
      <c r="N70" s="17"/>
      <c r="O70" s="17"/>
      <c r="P70" s="17"/>
      <c r="Q70" s="17"/>
      <c r="R70" s="17"/>
      <c r="S70" s="17"/>
      <c r="T70" s="17"/>
      <c r="U70" s="17"/>
      <c r="V70" s="17"/>
      <c r="W70" s="17"/>
      <c r="X70" s="17"/>
      <c r="Y70" s="17"/>
      <c r="Z70" s="17"/>
    </row>
    <row r="71" spans="1:26" x14ac:dyDescent="0.2">
      <c r="A71" s="279"/>
      <c r="B71" s="279"/>
      <c r="C71" s="279"/>
      <c r="D71" s="279"/>
      <c r="E71" s="279"/>
      <c r="F71" s="279"/>
      <c r="G71" s="279"/>
      <c r="H71" s="279"/>
      <c r="I71" s="17"/>
      <c r="J71" s="17"/>
      <c r="K71" s="17"/>
      <c r="L71" s="17"/>
      <c r="M71" s="17"/>
      <c r="N71" s="17"/>
      <c r="O71" s="17"/>
      <c r="P71" s="17"/>
      <c r="Q71" s="17"/>
      <c r="R71" s="17"/>
      <c r="S71" s="17"/>
      <c r="T71" s="17"/>
      <c r="U71" s="17"/>
      <c r="V71" s="17"/>
      <c r="W71" s="17"/>
      <c r="X71" s="17"/>
      <c r="Y71" s="17"/>
      <c r="Z71" s="17"/>
    </row>
    <row r="72" spans="1:26" x14ac:dyDescent="0.2">
      <c r="A72" s="279"/>
      <c r="B72" s="279"/>
      <c r="C72" s="279"/>
      <c r="D72" s="279"/>
      <c r="E72" s="279"/>
      <c r="F72" s="279"/>
      <c r="G72" s="279"/>
      <c r="H72" s="279"/>
      <c r="I72" s="17"/>
      <c r="J72" s="17"/>
      <c r="K72" s="17"/>
      <c r="L72" s="17"/>
      <c r="M72" s="17"/>
      <c r="N72" s="17"/>
      <c r="O72" s="17"/>
      <c r="P72" s="17"/>
      <c r="Q72" s="17"/>
      <c r="R72" s="17"/>
      <c r="S72" s="17"/>
      <c r="T72" s="17"/>
      <c r="U72" s="17"/>
      <c r="V72" s="17"/>
      <c r="W72" s="17"/>
      <c r="X72" s="17"/>
      <c r="Y72" s="17"/>
      <c r="Z72" s="17"/>
    </row>
    <row r="73" spans="1:26" x14ac:dyDescent="0.2">
      <c r="A73" s="279"/>
      <c r="B73" s="279"/>
      <c r="C73" s="279"/>
      <c r="D73" s="279"/>
      <c r="E73" s="279"/>
      <c r="F73" s="279"/>
      <c r="G73" s="279"/>
      <c r="H73" s="279"/>
      <c r="I73" s="17"/>
      <c r="J73" s="17"/>
      <c r="K73" s="17"/>
      <c r="L73" s="17"/>
      <c r="M73" s="17"/>
      <c r="N73" s="17"/>
      <c r="O73" s="17"/>
      <c r="P73" s="17"/>
      <c r="Q73" s="17"/>
      <c r="R73" s="17"/>
      <c r="S73" s="17"/>
      <c r="T73" s="17"/>
      <c r="U73" s="17"/>
      <c r="V73" s="17"/>
      <c r="W73" s="17"/>
      <c r="X73" s="17"/>
      <c r="Y73" s="17"/>
      <c r="Z73" s="17"/>
    </row>
    <row r="74" spans="1:26" x14ac:dyDescent="0.2">
      <c r="A74" s="279"/>
      <c r="B74" s="279"/>
      <c r="C74" s="279"/>
      <c r="D74" s="279"/>
      <c r="E74" s="279"/>
      <c r="F74" s="279"/>
      <c r="G74" s="279"/>
      <c r="H74" s="279"/>
      <c r="I74" s="17"/>
      <c r="J74" s="17"/>
      <c r="K74" s="17"/>
      <c r="L74" s="17"/>
      <c r="M74" s="17"/>
      <c r="N74" s="17"/>
      <c r="O74" s="17"/>
      <c r="P74" s="17"/>
      <c r="Q74" s="17"/>
      <c r="R74" s="17"/>
      <c r="S74" s="17"/>
      <c r="T74" s="17"/>
      <c r="U74" s="17"/>
      <c r="V74" s="17"/>
      <c r="W74" s="17"/>
      <c r="X74" s="17"/>
      <c r="Y74" s="17"/>
      <c r="Z74" s="17"/>
    </row>
    <row r="75" spans="1:26" x14ac:dyDescent="0.2">
      <c r="A75" s="279"/>
      <c r="B75" s="279"/>
      <c r="C75" s="279"/>
      <c r="D75" s="279"/>
      <c r="E75" s="279"/>
      <c r="F75" s="279"/>
      <c r="G75" s="279"/>
      <c r="H75" s="279"/>
      <c r="I75" s="17"/>
      <c r="J75" s="17"/>
      <c r="K75" s="17"/>
      <c r="L75" s="17"/>
      <c r="M75" s="17"/>
      <c r="N75" s="17"/>
      <c r="O75" s="17"/>
      <c r="P75" s="17"/>
      <c r="Q75" s="17"/>
      <c r="R75" s="17"/>
      <c r="S75" s="17"/>
      <c r="T75" s="17"/>
      <c r="U75" s="17"/>
      <c r="V75" s="17"/>
      <c r="W75" s="17"/>
      <c r="X75" s="17"/>
      <c r="Y75" s="17"/>
      <c r="Z75" s="17"/>
    </row>
    <row r="76" spans="1:26" x14ac:dyDescent="0.2">
      <c r="A76" s="279"/>
      <c r="B76" s="279"/>
      <c r="C76" s="279"/>
      <c r="D76" s="279"/>
      <c r="E76" s="279"/>
      <c r="F76" s="279"/>
      <c r="G76" s="279"/>
      <c r="H76" s="279"/>
      <c r="I76" s="17"/>
      <c r="J76" s="17"/>
      <c r="K76" s="17"/>
      <c r="L76" s="17"/>
      <c r="M76" s="17"/>
      <c r="N76" s="17"/>
      <c r="O76" s="17"/>
      <c r="P76" s="17"/>
      <c r="Q76" s="17"/>
      <c r="R76" s="17"/>
      <c r="S76" s="17"/>
      <c r="T76" s="17"/>
      <c r="U76" s="17"/>
      <c r="V76" s="17"/>
      <c r="W76" s="17"/>
      <c r="X76" s="17"/>
      <c r="Y76" s="17"/>
      <c r="Z76" s="17"/>
    </row>
    <row r="77" spans="1:26" x14ac:dyDescent="0.2">
      <c r="A77" s="279"/>
      <c r="B77" s="279"/>
      <c r="C77" s="279"/>
      <c r="D77" s="279"/>
      <c r="E77" s="279"/>
      <c r="F77" s="279"/>
      <c r="G77" s="279"/>
      <c r="H77" s="279"/>
      <c r="I77" s="17"/>
      <c r="J77" s="17"/>
      <c r="K77" s="17"/>
      <c r="L77" s="17"/>
      <c r="M77" s="17"/>
      <c r="N77" s="17"/>
      <c r="O77" s="17"/>
      <c r="P77" s="17"/>
      <c r="Q77" s="17"/>
      <c r="R77" s="17"/>
      <c r="S77" s="17"/>
      <c r="T77" s="17"/>
      <c r="U77" s="17"/>
      <c r="V77" s="17"/>
      <c r="W77" s="17"/>
      <c r="X77" s="17"/>
      <c r="Y77" s="17"/>
      <c r="Z77" s="17"/>
    </row>
    <row r="78" spans="1:26" s="24" customFormat="1" x14ac:dyDescent="0.2">
      <c r="A78" s="279"/>
      <c r="B78" s="279"/>
      <c r="C78" s="279"/>
      <c r="D78" s="279"/>
      <c r="E78" s="279"/>
      <c r="F78" s="279"/>
      <c r="G78" s="279"/>
      <c r="H78" s="279"/>
      <c r="I78" s="17"/>
      <c r="J78" s="17"/>
      <c r="K78" s="17"/>
      <c r="L78" s="17"/>
      <c r="M78" s="17"/>
      <c r="N78" s="17"/>
      <c r="O78" s="17"/>
      <c r="P78" s="17"/>
      <c r="Q78" s="17"/>
      <c r="R78" s="17"/>
      <c r="S78" s="17"/>
      <c r="T78" s="17"/>
      <c r="U78" s="17"/>
      <c r="V78" s="17"/>
      <c r="W78" s="17"/>
      <c r="X78" s="17"/>
      <c r="Y78" s="17"/>
      <c r="Z78" s="17"/>
    </row>
    <row r="79" spans="1:26" s="24" customFormat="1" x14ac:dyDescent="0.2">
      <c r="A79" s="279"/>
      <c r="B79" s="279"/>
      <c r="C79" s="279"/>
      <c r="D79" s="279"/>
      <c r="E79" s="279"/>
      <c r="F79" s="279"/>
      <c r="G79" s="279"/>
      <c r="H79" s="279"/>
      <c r="I79" s="17"/>
      <c r="J79" s="17"/>
      <c r="K79" s="17"/>
      <c r="L79" s="17"/>
      <c r="M79" s="17"/>
      <c r="N79" s="17"/>
      <c r="O79" s="17"/>
      <c r="P79" s="17"/>
      <c r="Q79" s="17"/>
      <c r="R79" s="17"/>
      <c r="S79" s="17"/>
      <c r="T79" s="17"/>
      <c r="U79" s="17"/>
      <c r="V79" s="17"/>
      <c r="W79" s="17"/>
      <c r="X79" s="17"/>
      <c r="Y79" s="17"/>
      <c r="Z79" s="17"/>
    </row>
    <row r="80" spans="1:26" s="24" customFormat="1" x14ac:dyDescent="0.2">
      <c r="A80" s="279"/>
      <c r="B80" s="279"/>
      <c r="C80" s="279"/>
      <c r="D80" s="279"/>
      <c r="E80" s="279"/>
      <c r="F80" s="279"/>
      <c r="G80" s="279"/>
      <c r="H80" s="279"/>
      <c r="I80" s="17"/>
      <c r="J80" s="17"/>
      <c r="K80" s="17"/>
      <c r="L80" s="17"/>
      <c r="M80" s="17"/>
      <c r="N80" s="17"/>
      <c r="O80" s="17"/>
      <c r="P80" s="17"/>
      <c r="Q80" s="17"/>
      <c r="R80" s="17"/>
      <c r="S80" s="17"/>
      <c r="T80" s="17"/>
      <c r="U80" s="17"/>
      <c r="V80" s="17"/>
      <c r="W80" s="17"/>
      <c r="X80" s="17"/>
      <c r="Y80" s="17"/>
      <c r="Z80" s="17"/>
    </row>
    <row r="81" spans="1:26" s="24" customFormat="1" x14ac:dyDescent="0.2">
      <c r="A81" s="279"/>
      <c r="B81" s="279"/>
      <c r="C81" s="279"/>
      <c r="D81" s="279"/>
      <c r="E81" s="279"/>
      <c r="F81" s="279"/>
      <c r="G81" s="279"/>
      <c r="H81" s="279"/>
      <c r="I81" s="17"/>
      <c r="J81" s="17"/>
      <c r="K81" s="17"/>
      <c r="L81" s="17"/>
      <c r="M81" s="17"/>
      <c r="N81" s="17"/>
      <c r="O81" s="17"/>
      <c r="P81" s="17"/>
      <c r="Q81" s="17"/>
      <c r="R81" s="17"/>
      <c r="S81" s="17"/>
      <c r="T81" s="17"/>
      <c r="U81" s="17"/>
      <c r="V81" s="17"/>
      <c r="W81" s="17"/>
      <c r="X81" s="17"/>
      <c r="Y81" s="17"/>
      <c r="Z81" s="17"/>
    </row>
    <row r="82" spans="1:26" s="24" customFormat="1" ht="52.5" customHeight="1" x14ac:dyDescent="0.2">
      <c r="A82" s="279"/>
      <c r="B82" s="279"/>
      <c r="C82" s="279"/>
      <c r="D82" s="279"/>
      <c r="E82" s="279"/>
      <c r="F82" s="279"/>
      <c r="G82" s="279"/>
      <c r="H82" s="279"/>
      <c r="I82" s="17"/>
      <c r="J82" s="17"/>
      <c r="K82" s="17"/>
      <c r="L82" s="17"/>
      <c r="M82" s="17"/>
      <c r="N82" s="17"/>
      <c r="O82" s="17"/>
      <c r="P82" s="17"/>
      <c r="Q82" s="17"/>
      <c r="R82" s="17"/>
      <c r="S82" s="17"/>
      <c r="T82" s="17"/>
      <c r="U82" s="17"/>
      <c r="V82" s="17"/>
      <c r="W82" s="17"/>
      <c r="X82" s="17"/>
      <c r="Y82" s="17"/>
      <c r="Z82" s="17"/>
    </row>
    <row r="83" spans="1:26" s="24" customFormat="1" x14ac:dyDescent="0.2">
      <c r="A83" s="279"/>
      <c r="B83" s="279"/>
      <c r="C83" s="279"/>
      <c r="D83" s="279"/>
      <c r="E83" s="279"/>
      <c r="F83" s="279"/>
      <c r="G83" s="279"/>
      <c r="H83" s="279"/>
      <c r="I83" s="17"/>
      <c r="J83" s="17"/>
      <c r="K83" s="17"/>
      <c r="L83" s="17"/>
      <c r="M83" s="17"/>
      <c r="N83" s="17"/>
      <c r="O83" s="17"/>
      <c r="P83" s="17"/>
      <c r="Q83" s="17"/>
      <c r="R83" s="17"/>
      <c r="S83" s="17"/>
      <c r="T83" s="17"/>
      <c r="U83" s="17"/>
      <c r="V83" s="17"/>
      <c r="W83" s="17"/>
      <c r="X83" s="17"/>
      <c r="Y83" s="17"/>
      <c r="Z83" s="17"/>
    </row>
    <row r="84" spans="1:26" s="24" customFormat="1" ht="31.5" customHeight="1" x14ac:dyDescent="0.2">
      <c r="A84" s="279"/>
      <c r="B84" s="279"/>
      <c r="C84" s="279"/>
      <c r="D84" s="279"/>
      <c r="E84" s="279"/>
      <c r="F84" s="279"/>
      <c r="G84" s="279"/>
      <c r="H84" s="279"/>
      <c r="I84" s="17"/>
      <c r="J84" s="17"/>
      <c r="K84" s="17"/>
      <c r="L84" s="17"/>
      <c r="M84" s="17"/>
      <c r="N84" s="17"/>
      <c r="O84" s="17"/>
      <c r="P84" s="17"/>
      <c r="Q84" s="17"/>
      <c r="R84" s="17"/>
      <c r="S84" s="17"/>
      <c r="T84" s="17"/>
      <c r="U84" s="17"/>
      <c r="V84" s="17"/>
      <c r="W84" s="17"/>
      <c r="X84" s="17"/>
      <c r="Y84" s="17"/>
      <c r="Z84" s="17"/>
    </row>
    <row r="85" spans="1:26" s="24" customFormat="1" x14ac:dyDescent="0.2">
      <c r="A85" s="279"/>
      <c r="B85" s="279"/>
      <c r="C85" s="279"/>
      <c r="D85" s="279"/>
      <c r="E85" s="279"/>
      <c r="F85" s="279"/>
      <c r="G85" s="279"/>
      <c r="H85" s="279"/>
      <c r="I85" s="17"/>
      <c r="J85" s="17"/>
      <c r="K85" s="17"/>
      <c r="L85" s="17"/>
      <c r="M85" s="17"/>
      <c r="N85" s="17"/>
      <c r="O85" s="17"/>
      <c r="P85" s="17"/>
      <c r="Q85" s="17"/>
      <c r="R85" s="17"/>
      <c r="S85" s="17"/>
      <c r="T85" s="17"/>
      <c r="U85" s="17"/>
      <c r="V85" s="17"/>
      <c r="W85" s="17"/>
      <c r="X85" s="17"/>
      <c r="Y85" s="17"/>
      <c r="Z85" s="17"/>
    </row>
    <row r="86" spans="1:26" s="24" customFormat="1" x14ac:dyDescent="0.2">
      <c r="A86" s="279"/>
      <c r="B86" s="279"/>
      <c r="C86" s="279"/>
      <c r="D86" s="279"/>
      <c r="E86" s="279"/>
      <c r="F86" s="279"/>
      <c r="G86" s="279"/>
      <c r="H86" s="279"/>
      <c r="I86" s="17"/>
      <c r="J86" s="17"/>
      <c r="K86" s="17"/>
      <c r="L86" s="17"/>
      <c r="M86" s="17"/>
      <c r="N86" s="17"/>
      <c r="O86" s="17"/>
      <c r="P86" s="17"/>
      <c r="Q86" s="17"/>
      <c r="R86" s="17"/>
      <c r="S86" s="17"/>
      <c r="T86" s="17"/>
      <c r="U86" s="17"/>
      <c r="V86" s="17"/>
      <c r="W86" s="17"/>
      <c r="X86" s="17"/>
      <c r="Y86" s="17"/>
      <c r="Z86" s="17"/>
    </row>
    <row r="87" spans="1:26" s="24" customFormat="1" x14ac:dyDescent="0.2">
      <c r="A87" s="279"/>
      <c r="B87" s="279"/>
      <c r="C87" s="279"/>
      <c r="D87" s="279"/>
      <c r="E87" s="279"/>
      <c r="F87" s="279"/>
      <c r="G87" s="279"/>
      <c r="H87" s="279"/>
      <c r="I87" s="17"/>
      <c r="J87" s="17"/>
      <c r="K87" s="17"/>
      <c r="L87" s="17"/>
      <c r="M87" s="17"/>
      <c r="N87" s="17"/>
      <c r="O87" s="17"/>
      <c r="P87" s="17"/>
      <c r="Q87" s="17"/>
      <c r="R87" s="17"/>
      <c r="S87" s="17"/>
      <c r="T87" s="17"/>
      <c r="U87" s="17"/>
      <c r="V87" s="17"/>
      <c r="W87" s="17"/>
      <c r="X87" s="17"/>
      <c r="Y87" s="17"/>
      <c r="Z87" s="17"/>
    </row>
    <row r="88" spans="1:26" s="24" customFormat="1" x14ac:dyDescent="0.2">
      <c r="A88" s="279"/>
      <c r="B88" s="279"/>
      <c r="C88" s="279"/>
      <c r="D88" s="279"/>
      <c r="E88" s="279"/>
      <c r="F88" s="279"/>
      <c r="G88" s="279"/>
      <c r="H88" s="279"/>
      <c r="I88" s="17"/>
      <c r="J88" s="17"/>
      <c r="K88" s="17"/>
      <c r="L88" s="17"/>
      <c r="M88" s="17"/>
      <c r="N88" s="17"/>
      <c r="O88" s="17"/>
      <c r="P88" s="17"/>
      <c r="Q88" s="17"/>
      <c r="R88" s="17"/>
      <c r="S88" s="17"/>
      <c r="T88" s="17"/>
      <c r="U88" s="17"/>
      <c r="V88" s="17"/>
      <c r="W88" s="17"/>
      <c r="X88" s="17"/>
      <c r="Y88" s="17"/>
      <c r="Z88" s="17"/>
    </row>
    <row r="91" spans="1:26" s="11" customFormat="1" ht="12.75" x14ac:dyDescent="0.2">
      <c r="A91" s="280"/>
      <c r="B91" s="280"/>
      <c r="C91" s="280"/>
      <c r="D91" s="280"/>
      <c r="E91" s="280"/>
      <c r="F91" s="280"/>
      <c r="G91" s="280"/>
      <c r="H91" s="280"/>
      <c r="I91" s="92"/>
      <c r="J91" s="92"/>
      <c r="K91" s="92"/>
      <c r="L91" s="92"/>
      <c r="M91" s="92"/>
      <c r="N91" s="92"/>
      <c r="O91" s="92"/>
      <c r="P91" s="92"/>
      <c r="Q91" s="92"/>
      <c r="R91" s="92"/>
      <c r="S91" s="92"/>
      <c r="T91" s="92"/>
      <c r="U91" s="92"/>
      <c r="V91" s="92"/>
      <c r="W91" s="92"/>
      <c r="X91" s="92"/>
      <c r="Y91" s="92"/>
      <c r="Z91" s="92"/>
    </row>
    <row r="92" spans="1:26" s="11" customFormat="1" ht="12.75" x14ac:dyDescent="0.2">
      <c r="A92" s="280"/>
      <c r="B92" s="280"/>
      <c r="C92" s="280"/>
      <c r="D92" s="280"/>
      <c r="E92" s="280"/>
      <c r="F92" s="280"/>
      <c r="G92" s="280"/>
      <c r="H92" s="280"/>
      <c r="I92" s="92"/>
      <c r="J92" s="92"/>
      <c r="K92" s="92"/>
      <c r="L92" s="92"/>
      <c r="M92" s="92"/>
      <c r="N92" s="92"/>
      <c r="O92" s="92"/>
      <c r="P92" s="92"/>
      <c r="Q92" s="92"/>
      <c r="R92" s="92"/>
      <c r="S92" s="92"/>
      <c r="T92" s="92"/>
      <c r="U92" s="92"/>
      <c r="V92" s="92"/>
      <c r="W92" s="92"/>
      <c r="X92" s="92"/>
      <c r="Y92" s="92"/>
      <c r="Z92" s="92"/>
    </row>
    <row r="93" spans="1:26" s="11" customFormat="1" ht="12.75" x14ac:dyDescent="0.2">
      <c r="A93" s="280"/>
      <c r="B93" s="280"/>
      <c r="C93" s="280"/>
      <c r="D93" s="280"/>
      <c r="E93" s="280"/>
      <c r="F93" s="280"/>
      <c r="G93" s="280"/>
      <c r="H93" s="280"/>
      <c r="I93" s="92"/>
      <c r="J93" s="92"/>
      <c r="K93" s="92"/>
      <c r="L93" s="92"/>
      <c r="M93" s="92"/>
      <c r="N93" s="92"/>
      <c r="O93" s="92"/>
      <c r="P93" s="92"/>
      <c r="Q93" s="92"/>
      <c r="R93" s="92"/>
      <c r="S93" s="92"/>
      <c r="T93" s="92"/>
      <c r="U93" s="92"/>
      <c r="V93" s="92"/>
      <c r="W93" s="92"/>
      <c r="X93" s="92"/>
      <c r="Y93" s="92"/>
      <c r="Z93" s="92"/>
    </row>
    <row r="94" spans="1:26" s="11" customFormat="1" ht="12.75" x14ac:dyDescent="0.2">
      <c r="A94" s="280"/>
      <c r="B94" s="280"/>
      <c r="C94" s="280"/>
      <c r="D94" s="280"/>
      <c r="E94" s="280"/>
      <c r="F94" s="280"/>
      <c r="G94" s="280"/>
      <c r="H94" s="280"/>
      <c r="I94" s="92"/>
      <c r="J94" s="92"/>
      <c r="K94" s="92"/>
      <c r="L94" s="92"/>
      <c r="M94" s="92"/>
      <c r="N94" s="92"/>
      <c r="O94" s="92"/>
      <c r="P94" s="92"/>
      <c r="Q94" s="92"/>
      <c r="R94" s="92"/>
      <c r="S94" s="92"/>
      <c r="T94" s="92"/>
      <c r="U94" s="92"/>
      <c r="V94" s="92"/>
      <c r="W94" s="92"/>
      <c r="X94" s="92"/>
      <c r="Y94" s="92"/>
      <c r="Z94" s="92"/>
    </row>
    <row r="95" spans="1:26" s="11" customFormat="1" ht="12.75" x14ac:dyDescent="0.2">
      <c r="A95" s="280"/>
      <c r="B95" s="280"/>
      <c r="C95" s="280"/>
      <c r="D95" s="280"/>
      <c r="E95" s="280"/>
      <c r="F95" s="280"/>
      <c r="G95" s="280"/>
      <c r="H95" s="280"/>
      <c r="I95" s="92"/>
      <c r="J95" s="92"/>
      <c r="K95" s="92"/>
      <c r="L95" s="92"/>
      <c r="M95" s="92"/>
      <c r="N95" s="92"/>
      <c r="O95" s="92"/>
      <c r="P95" s="92"/>
      <c r="Q95" s="92"/>
      <c r="R95" s="92"/>
      <c r="S95" s="92"/>
      <c r="T95" s="92"/>
      <c r="U95" s="92"/>
      <c r="V95" s="92"/>
      <c r="W95" s="92"/>
      <c r="X95" s="92"/>
      <c r="Y95" s="92"/>
      <c r="Z95" s="92"/>
    </row>
    <row r="96" spans="1:26" s="11" customFormat="1" ht="12.75" x14ac:dyDescent="0.2">
      <c r="A96" s="280"/>
      <c r="B96" s="280"/>
      <c r="C96" s="280"/>
      <c r="D96" s="280"/>
      <c r="E96" s="280"/>
      <c r="F96" s="280"/>
      <c r="G96" s="280"/>
      <c r="H96" s="280"/>
      <c r="I96" s="92"/>
      <c r="J96" s="92"/>
      <c r="K96" s="92"/>
      <c r="L96" s="92"/>
      <c r="M96" s="92"/>
      <c r="N96" s="92"/>
      <c r="O96" s="92"/>
      <c r="P96" s="92"/>
      <c r="Q96" s="92"/>
      <c r="R96" s="92"/>
      <c r="S96" s="92"/>
      <c r="T96" s="92"/>
      <c r="U96" s="92"/>
      <c r="V96" s="92"/>
      <c r="W96" s="92"/>
      <c r="X96" s="92"/>
      <c r="Y96" s="92"/>
      <c r="Z96" s="92"/>
    </row>
    <row r="97" spans="1:26" s="11" customFormat="1" ht="12.75" x14ac:dyDescent="0.2">
      <c r="A97" s="280"/>
      <c r="B97" s="280"/>
      <c r="C97" s="280"/>
      <c r="D97" s="280"/>
      <c r="E97" s="280"/>
      <c r="F97" s="280"/>
      <c r="G97" s="280"/>
      <c r="H97" s="280"/>
      <c r="I97" s="92"/>
      <c r="J97" s="92"/>
      <c r="K97" s="92"/>
      <c r="L97" s="92"/>
      <c r="M97" s="92"/>
      <c r="N97" s="92"/>
      <c r="O97" s="92"/>
      <c r="P97" s="92"/>
      <c r="Q97" s="92"/>
      <c r="R97" s="92"/>
      <c r="S97" s="92"/>
      <c r="T97" s="92"/>
      <c r="U97" s="92"/>
      <c r="V97" s="92"/>
      <c r="W97" s="92"/>
      <c r="X97" s="92"/>
      <c r="Y97" s="92"/>
      <c r="Z97" s="92"/>
    </row>
    <row r="98" spans="1:26" s="11" customFormat="1" ht="12.75" x14ac:dyDescent="0.2">
      <c r="A98" s="280"/>
      <c r="B98" s="280"/>
      <c r="C98" s="280"/>
      <c r="D98" s="280"/>
      <c r="E98" s="280"/>
      <c r="F98" s="280"/>
      <c r="G98" s="280"/>
      <c r="H98" s="280"/>
      <c r="I98" s="92"/>
      <c r="J98" s="92"/>
      <c r="K98" s="92"/>
      <c r="L98" s="92"/>
      <c r="M98" s="92"/>
      <c r="N98" s="92"/>
      <c r="O98" s="92"/>
      <c r="P98" s="92"/>
      <c r="Q98" s="92"/>
      <c r="R98" s="92"/>
      <c r="S98" s="92"/>
      <c r="T98" s="92"/>
      <c r="U98" s="92"/>
      <c r="V98" s="92"/>
      <c r="W98" s="92"/>
      <c r="X98" s="92"/>
      <c r="Y98" s="92"/>
      <c r="Z98" s="92"/>
    </row>
    <row r="99" spans="1:26" s="11" customFormat="1" ht="12.75" x14ac:dyDescent="0.2">
      <c r="A99" s="280"/>
      <c r="B99" s="280"/>
      <c r="C99" s="280"/>
      <c r="D99" s="280"/>
      <c r="E99" s="280"/>
      <c r="F99" s="280"/>
      <c r="G99" s="280"/>
      <c r="H99" s="280"/>
      <c r="I99" s="92"/>
      <c r="J99" s="92"/>
      <c r="K99" s="92"/>
      <c r="L99" s="92"/>
      <c r="M99" s="92"/>
      <c r="N99" s="92"/>
      <c r="O99" s="92"/>
      <c r="P99" s="92"/>
      <c r="Q99" s="92"/>
      <c r="R99" s="92"/>
      <c r="S99" s="92"/>
      <c r="T99" s="92"/>
      <c r="U99" s="92"/>
      <c r="V99" s="92"/>
      <c r="W99" s="92"/>
      <c r="X99" s="92"/>
      <c r="Y99" s="92"/>
      <c r="Z99" s="92"/>
    </row>
    <row r="100" spans="1:26" s="11" customFormat="1" ht="12.75" x14ac:dyDescent="0.2">
      <c r="A100" s="280"/>
      <c r="B100" s="280"/>
      <c r="C100" s="280"/>
      <c r="D100" s="280"/>
      <c r="E100" s="280"/>
      <c r="F100" s="280"/>
      <c r="G100" s="280"/>
      <c r="H100" s="280"/>
      <c r="I100" s="92"/>
      <c r="J100" s="92"/>
      <c r="K100" s="92"/>
      <c r="L100" s="92"/>
      <c r="M100" s="92"/>
      <c r="N100" s="92"/>
      <c r="O100" s="92"/>
      <c r="P100" s="92"/>
      <c r="Q100" s="92"/>
      <c r="R100" s="92"/>
      <c r="S100" s="92"/>
      <c r="T100" s="92"/>
      <c r="U100" s="92"/>
      <c r="V100" s="92"/>
      <c r="W100" s="92"/>
      <c r="X100" s="92"/>
      <c r="Y100" s="92"/>
      <c r="Z100" s="92"/>
    </row>
    <row r="101" spans="1:26" s="11" customFormat="1" ht="12.75" x14ac:dyDescent="0.2">
      <c r="A101" s="280"/>
      <c r="B101" s="280"/>
      <c r="C101" s="280"/>
      <c r="D101" s="280"/>
      <c r="E101" s="280"/>
      <c r="F101" s="280"/>
      <c r="G101" s="280"/>
      <c r="H101" s="280"/>
      <c r="I101" s="92"/>
      <c r="J101" s="92"/>
      <c r="K101" s="92"/>
      <c r="L101" s="92"/>
      <c r="M101" s="92"/>
      <c r="N101" s="92"/>
      <c r="O101" s="92"/>
      <c r="P101" s="92"/>
      <c r="Q101" s="92"/>
      <c r="R101" s="92"/>
      <c r="S101" s="92"/>
      <c r="T101" s="92"/>
      <c r="U101" s="92"/>
      <c r="V101" s="92"/>
      <c r="W101" s="92"/>
      <c r="X101" s="92"/>
      <c r="Y101" s="92"/>
      <c r="Z101" s="92"/>
    </row>
    <row r="102" spans="1:26" s="11" customFormat="1" ht="12.75" x14ac:dyDescent="0.2">
      <c r="A102" s="280"/>
      <c r="B102" s="280"/>
      <c r="C102" s="280"/>
      <c r="D102" s="280"/>
      <c r="E102" s="280"/>
      <c r="F102" s="280"/>
      <c r="G102" s="280"/>
      <c r="H102" s="280"/>
      <c r="I102" s="92"/>
      <c r="J102" s="92"/>
      <c r="K102" s="92"/>
      <c r="L102" s="92"/>
      <c r="M102" s="92"/>
      <c r="N102" s="92"/>
      <c r="O102" s="92"/>
      <c r="P102" s="92"/>
      <c r="Q102" s="92"/>
      <c r="R102" s="92"/>
      <c r="S102" s="92"/>
      <c r="T102" s="92"/>
      <c r="U102" s="92"/>
      <c r="V102" s="92"/>
      <c r="W102" s="92"/>
      <c r="X102" s="92"/>
      <c r="Y102" s="92"/>
      <c r="Z102" s="92"/>
    </row>
    <row r="103" spans="1:26" s="11" customFormat="1" ht="12.75" x14ac:dyDescent="0.2">
      <c r="A103" s="280"/>
      <c r="B103" s="280"/>
      <c r="C103" s="280"/>
      <c r="D103" s="280"/>
      <c r="E103" s="280"/>
      <c r="F103" s="280"/>
      <c r="G103" s="280"/>
      <c r="H103" s="280"/>
      <c r="I103" s="92"/>
      <c r="J103" s="92"/>
      <c r="K103" s="92"/>
      <c r="L103" s="92"/>
      <c r="M103" s="92"/>
      <c r="N103" s="92"/>
      <c r="O103" s="92"/>
      <c r="P103" s="92"/>
      <c r="Q103" s="92"/>
      <c r="R103" s="92"/>
      <c r="S103" s="92"/>
      <c r="T103" s="92"/>
      <c r="U103" s="92"/>
      <c r="V103" s="92"/>
      <c r="W103" s="92"/>
      <c r="X103" s="92"/>
      <c r="Y103" s="92"/>
      <c r="Z103" s="92"/>
    </row>
    <row r="104" spans="1:26" s="11" customFormat="1" ht="12.75" x14ac:dyDescent="0.2">
      <c r="A104" s="280"/>
      <c r="B104" s="280"/>
      <c r="C104" s="280"/>
      <c r="D104" s="280"/>
      <c r="E104" s="280"/>
      <c r="F104" s="280"/>
      <c r="G104" s="280"/>
      <c r="H104" s="280"/>
      <c r="I104" s="92"/>
      <c r="J104" s="92"/>
      <c r="K104" s="92"/>
      <c r="L104" s="92"/>
      <c r="M104" s="92"/>
      <c r="N104" s="92"/>
      <c r="O104" s="92"/>
      <c r="P104" s="92"/>
      <c r="Q104" s="92"/>
      <c r="R104" s="92"/>
      <c r="S104" s="92"/>
      <c r="T104" s="92"/>
      <c r="U104" s="92"/>
      <c r="V104" s="92"/>
      <c r="W104" s="92"/>
      <c r="X104" s="92"/>
      <c r="Y104" s="92"/>
      <c r="Z104" s="92"/>
    </row>
    <row r="105" spans="1:26" s="11" customFormat="1" ht="12.75" x14ac:dyDescent="0.2">
      <c r="A105" s="280"/>
      <c r="B105" s="280"/>
      <c r="C105" s="280"/>
      <c r="D105" s="280"/>
      <c r="E105" s="280"/>
      <c r="F105" s="280"/>
      <c r="G105" s="280"/>
      <c r="H105" s="280"/>
      <c r="I105" s="92"/>
      <c r="J105" s="92"/>
      <c r="K105" s="92"/>
      <c r="L105" s="92"/>
      <c r="M105" s="92"/>
      <c r="N105" s="92"/>
      <c r="O105" s="92"/>
      <c r="P105" s="92"/>
      <c r="Q105" s="92"/>
      <c r="R105" s="92"/>
      <c r="S105" s="92"/>
      <c r="T105" s="92"/>
      <c r="U105" s="92"/>
      <c r="V105" s="92"/>
      <c r="W105" s="92"/>
      <c r="X105" s="92"/>
      <c r="Y105" s="92"/>
      <c r="Z105" s="92"/>
    </row>
    <row r="106" spans="1:26" s="11" customFormat="1" ht="12.75" x14ac:dyDescent="0.2">
      <c r="A106" s="280"/>
      <c r="B106" s="280"/>
      <c r="C106" s="280"/>
      <c r="D106" s="280"/>
      <c r="E106" s="280"/>
      <c r="F106" s="280"/>
      <c r="G106" s="280"/>
      <c r="H106" s="280"/>
      <c r="I106" s="92"/>
      <c r="J106" s="92"/>
      <c r="K106" s="92"/>
      <c r="L106" s="92"/>
      <c r="M106" s="92"/>
      <c r="N106" s="92"/>
      <c r="O106" s="92"/>
      <c r="P106" s="92"/>
      <c r="Q106" s="92"/>
      <c r="R106" s="92"/>
      <c r="S106" s="92"/>
      <c r="T106" s="92"/>
      <c r="U106" s="92"/>
      <c r="V106" s="92"/>
      <c r="W106" s="92"/>
      <c r="X106" s="92"/>
      <c r="Y106" s="92"/>
      <c r="Z106" s="92"/>
    </row>
    <row r="107" spans="1:26" s="11" customFormat="1" ht="12.75" x14ac:dyDescent="0.2">
      <c r="A107" s="280"/>
      <c r="B107" s="280"/>
      <c r="C107" s="280"/>
      <c r="D107" s="280"/>
      <c r="E107" s="280"/>
      <c r="F107" s="280"/>
      <c r="G107" s="280"/>
      <c r="H107" s="280"/>
      <c r="I107" s="92"/>
      <c r="J107" s="92"/>
      <c r="K107" s="92"/>
      <c r="L107" s="92"/>
      <c r="M107" s="92"/>
      <c r="N107" s="92"/>
      <c r="O107" s="92"/>
      <c r="P107" s="92"/>
      <c r="Q107" s="92"/>
      <c r="R107" s="92"/>
      <c r="S107" s="92"/>
      <c r="T107" s="92"/>
      <c r="U107" s="92"/>
      <c r="V107" s="92"/>
      <c r="W107" s="92"/>
      <c r="X107" s="92"/>
      <c r="Y107" s="92"/>
      <c r="Z107" s="92"/>
    </row>
    <row r="108" spans="1:26" s="11" customFormat="1" ht="12.75" x14ac:dyDescent="0.2">
      <c r="A108" s="280"/>
      <c r="B108" s="280"/>
      <c r="C108" s="280"/>
      <c r="D108" s="280"/>
      <c r="E108" s="280"/>
      <c r="F108" s="280"/>
      <c r="G108" s="280"/>
      <c r="H108" s="280"/>
      <c r="I108" s="92"/>
      <c r="J108" s="92"/>
      <c r="K108" s="92"/>
      <c r="L108" s="92"/>
      <c r="M108" s="92"/>
      <c r="N108" s="92"/>
      <c r="O108" s="92"/>
      <c r="P108" s="92"/>
      <c r="Q108" s="92"/>
      <c r="R108" s="92"/>
      <c r="S108" s="92"/>
      <c r="T108" s="92"/>
      <c r="U108" s="92"/>
      <c r="V108" s="92"/>
      <c r="W108" s="92"/>
      <c r="X108" s="92"/>
      <c r="Y108" s="92"/>
      <c r="Z108" s="92"/>
    </row>
    <row r="109" spans="1:26" s="11" customFormat="1" ht="12.75" x14ac:dyDescent="0.2">
      <c r="A109" s="280"/>
      <c r="B109" s="280"/>
      <c r="C109" s="280"/>
      <c r="D109" s="280"/>
      <c r="E109" s="280"/>
      <c r="F109" s="280"/>
      <c r="G109" s="280"/>
      <c r="H109" s="280"/>
      <c r="I109" s="92"/>
      <c r="J109" s="92"/>
      <c r="K109" s="92"/>
      <c r="L109" s="92"/>
      <c r="M109" s="92"/>
      <c r="N109" s="92"/>
      <c r="O109" s="92"/>
      <c r="P109" s="92"/>
      <c r="Q109" s="92"/>
      <c r="R109" s="92"/>
      <c r="S109" s="92"/>
      <c r="T109" s="92"/>
      <c r="U109" s="92"/>
      <c r="V109" s="92"/>
      <c r="W109" s="92"/>
      <c r="X109" s="92"/>
      <c r="Y109" s="92"/>
      <c r="Z109" s="92"/>
    </row>
    <row r="110" spans="1:26" s="11" customFormat="1" ht="12.75" x14ac:dyDescent="0.2">
      <c r="A110" s="280"/>
      <c r="B110" s="280"/>
      <c r="C110" s="280"/>
      <c r="D110" s="280"/>
      <c r="E110" s="280"/>
      <c r="F110" s="280"/>
      <c r="G110" s="280"/>
      <c r="H110" s="280"/>
      <c r="I110" s="92"/>
      <c r="J110" s="92"/>
      <c r="K110" s="92"/>
      <c r="L110" s="92"/>
      <c r="M110" s="92"/>
      <c r="N110" s="92"/>
      <c r="O110" s="92"/>
      <c r="P110" s="92"/>
      <c r="Q110" s="92"/>
      <c r="R110" s="92"/>
      <c r="S110" s="92"/>
      <c r="T110" s="92"/>
      <c r="U110" s="92"/>
      <c r="V110" s="92"/>
      <c r="W110" s="92"/>
      <c r="X110" s="92"/>
      <c r="Y110" s="92"/>
      <c r="Z110" s="92"/>
    </row>
    <row r="111" spans="1:26" s="11" customFormat="1" ht="12.75" x14ac:dyDescent="0.2">
      <c r="A111" s="280"/>
      <c r="B111" s="280"/>
      <c r="C111" s="280"/>
      <c r="D111" s="280"/>
      <c r="E111" s="280"/>
      <c r="F111" s="280"/>
      <c r="G111" s="280"/>
      <c r="H111" s="280"/>
      <c r="I111" s="92"/>
      <c r="J111" s="92"/>
      <c r="K111" s="92"/>
      <c r="L111" s="92"/>
      <c r="M111" s="92"/>
      <c r="N111" s="92"/>
      <c r="O111" s="92"/>
      <c r="P111" s="92"/>
      <c r="Q111" s="92"/>
      <c r="R111" s="92"/>
      <c r="S111" s="92"/>
      <c r="T111" s="92"/>
      <c r="U111" s="92"/>
      <c r="V111" s="92"/>
      <c r="W111" s="92"/>
      <c r="X111" s="92"/>
      <c r="Y111" s="92"/>
      <c r="Z111" s="92"/>
    </row>
    <row r="112" spans="1:26" s="11" customFormat="1" ht="12.75" x14ac:dyDescent="0.2">
      <c r="A112" s="280"/>
      <c r="B112" s="280"/>
      <c r="C112" s="280"/>
      <c r="D112" s="280"/>
      <c r="E112" s="280"/>
      <c r="F112" s="280"/>
      <c r="G112" s="280"/>
      <c r="H112" s="280"/>
      <c r="I112" s="92"/>
      <c r="J112" s="92"/>
      <c r="K112" s="92"/>
      <c r="L112" s="92"/>
      <c r="M112" s="92"/>
      <c r="N112" s="92"/>
      <c r="O112" s="92"/>
      <c r="P112" s="92"/>
      <c r="Q112" s="92"/>
      <c r="R112" s="92"/>
      <c r="S112" s="92"/>
      <c r="T112" s="92"/>
      <c r="U112" s="92"/>
      <c r="V112" s="92"/>
      <c r="W112" s="92"/>
      <c r="X112" s="92"/>
      <c r="Y112" s="92"/>
      <c r="Z112" s="92"/>
    </row>
    <row r="113" spans="1:26" s="11" customFormat="1" ht="12.75" x14ac:dyDescent="0.2">
      <c r="A113" s="280"/>
      <c r="B113" s="280"/>
      <c r="C113" s="280"/>
      <c r="D113" s="280"/>
      <c r="E113" s="280"/>
      <c r="F113" s="280"/>
      <c r="G113" s="280"/>
      <c r="H113" s="280"/>
      <c r="I113" s="92"/>
      <c r="J113" s="92"/>
      <c r="K113" s="92"/>
      <c r="L113" s="92"/>
      <c r="M113" s="92"/>
      <c r="N113" s="92"/>
      <c r="O113" s="92"/>
      <c r="P113" s="92"/>
      <c r="Q113" s="92"/>
      <c r="R113" s="92"/>
      <c r="S113" s="92"/>
      <c r="T113" s="92"/>
      <c r="U113" s="92"/>
      <c r="V113" s="92"/>
      <c r="W113" s="92"/>
      <c r="X113" s="92"/>
      <c r="Y113" s="92"/>
      <c r="Z113" s="92"/>
    </row>
    <row r="114" spans="1:26" s="11" customFormat="1" ht="12.75" x14ac:dyDescent="0.2">
      <c r="A114" s="280"/>
      <c r="B114" s="280"/>
      <c r="C114" s="280"/>
      <c r="D114" s="280"/>
      <c r="E114" s="280"/>
      <c r="F114" s="280"/>
      <c r="G114" s="280"/>
      <c r="H114" s="280"/>
      <c r="I114" s="92"/>
      <c r="J114" s="92"/>
      <c r="K114" s="92"/>
      <c r="L114" s="92"/>
      <c r="M114" s="92"/>
      <c r="N114" s="92"/>
      <c r="O114" s="92"/>
      <c r="P114" s="92"/>
      <c r="Q114" s="92"/>
      <c r="R114" s="92"/>
      <c r="S114" s="92"/>
      <c r="T114" s="92"/>
      <c r="U114" s="92"/>
      <c r="V114" s="92"/>
      <c r="W114" s="92"/>
      <c r="X114" s="92"/>
      <c r="Y114" s="92"/>
      <c r="Z114" s="92"/>
    </row>
    <row r="115" spans="1:26" s="11" customFormat="1" ht="12.75" x14ac:dyDescent="0.2">
      <c r="A115" s="280"/>
      <c r="B115" s="280"/>
      <c r="C115" s="280"/>
      <c r="D115" s="280"/>
      <c r="E115" s="280"/>
      <c r="F115" s="280"/>
      <c r="G115" s="280"/>
      <c r="H115" s="280"/>
      <c r="I115" s="92"/>
      <c r="J115" s="92"/>
      <c r="K115" s="92"/>
      <c r="L115" s="92"/>
      <c r="M115" s="92"/>
      <c r="N115" s="92"/>
      <c r="O115" s="92"/>
      <c r="P115" s="92"/>
      <c r="Q115" s="92"/>
      <c r="R115" s="92"/>
      <c r="S115" s="92"/>
      <c r="T115" s="92"/>
      <c r="U115" s="92"/>
      <c r="V115" s="92"/>
      <c r="W115" s="92"/>
      <c r="X115" s="92"/>
      <c r="Y115" s="92"/>
      <c r="Z115" s="92"/>
    </row>
    <row r="116" spans="1:26" s="11" customFormat="1" ht="12.75" x14ac:dyDescent="0.2">
      <c r="A116" s="280"/>
      <c r="B116" s="280"/>
      <c r="C116" s="280"/>
      <c r="D116" s="280"/>
      <c r="E116" s="280"/>
      <c r="F116" s="280"/>
      <c r="G116" s="280"/>
      <c r="H116" s="280"/>
      <c r="I116" s="92"/>
      <c r="J116" s="92"/>
      <c r="K116" s="92"/>
      <c r="L116" s="92"/>
      <c r="M116" s="92"/>
      <c r="N116" s="92"/>
      <c r="O116" s="92"/>
      <c r="P116" s="92"/>
      <c r="Q116" s="92"/>
      <c r="R116" s="92"/>
      <c r="S116" s="92"/>
      <c r="T116" s="92"/>
      <c r="U116" s="92"/>
      <c r="V116" s="92"/>
      <c r="W116" s="92"/>
      <c r="X116" s="92"/>
      <c r="Y116" s="92"/>
      <c r="Z116" s="92"/>
    </row>
    <row r="117" spans="1:26" s="11" customFormat="1" ht="12.75" x14ac:dyDescent="0.2">
      <c r="A117" s="280"/>
      <c r="B117" s="280"/>
      <c r="C117" s="280"/>
      <c r="D117" s="280"/>
      <c r="E117" s="280"/>
      <c r="F117" s="280"/>
      <c r="G117" s="280"/>
      <c r="H117" s="280"/>
      <c r="I117" s="92"/>
      <c r="J117" s="92"/>
      <c r="K117" s="92"/>
      <c r="L117" s="92"/>
      <c r="M117" s="92"/>
      <c r="N117" s="92"/>
      <c r="O117" s="92"/>
      <c r="P117" s="92"/>
      <c r="Q117" s="92"/>
      <c r="R117" s="92"/>
      <c r="S117" s="92"/>
      <c r="T117" s="92"/>
      <c r="U117" s="92"/>
      <c r="V117" s="92"/>
      <c r="W117" s="92"/>
      <c r="X117" s="92"/>
      <c r="Y117" s="92"/>
      <c r="Z117" s="92"/>
    </row>
    <row r="118" spans="1:26" s="11" customFormat="1" ht="12.75" x14ac:dyDescent="0.2">
      <c r="A118" s="280"/>
      <c r="B118" s="280"/>
      <c r="C118" s="280"/>
      <c r="D118" s="280"/>
      <c r="E118" s="280"/>
      <c r="F118" s="280"/>
      <c r="G118" s="280"/>
      <c r="H118" s="280"/>
      <c r="I118" s="92"/>
      <c r="J118" s="92"/>
      <c r="K118" s="92"/>
      <c r="L118" s="92"/>
      <c r="M118" s="92"/>
      <c r="N118" s="92"/>
      <c r="O118" s="92"/>
      <c r="P118" s="92"/>
      <c r="Q118" s="92"/>
      <c r="R118" s="92"/>
      <c r="S118" s="92"/>
      <c r="T118" s="92"/>
      <c r="U118" s="92"/>
      <c r="V118" s="92"/>
      <c r="W118" s="92"/>
      <c r="X118" s="92"/>
      <c r="Y118" s="92"/>
      <c r="Z118" s="92"/>
    </row>
    <row r="119" spans="1:26" s="11" customFormat="1" ht="12" customHeight="1" x14ac:dyDescent="0.2">
      <c r="A119" s="280"/>
      <c r="B119" s="280"/>
      <c r="C119" s="280"/>
      <c r="D119" s="280"/>
      <c r="E119" s="280"/>
      <c r="F119" s="280"/>
      <c r="G119" s="280"/>
      <c r="H119" s="280"/>
      <c r="I119" s="92"/>
      <c r="J119" s="92"/>
      <c r="K119" s="92"/>
      <c r="L119" s="92"/>
      <c r="M119" s="92"/>
      <c r="N119" s="92"/>
      <c r="O119" s="92"/>
      <c r="P119" s="92"/>
      <c r="Q119" s="92"/>
      <c r="R119" s="92"/>
      <c r="S119" s="92"/>
      <c r="T119" s="92"/>
      <c r="U119" s="92"/>
      <c r="V119" s="92"/>
      <c r="W119" s="92"/>
      <c r="X119" s="92"/>
      <c r="Y119" s="92"/>
      <c r="Z119" s="92"/>
    </row>
    <row r="120" spans="1:26" s="11" customFormat="1" ht="20.25" customHeight="1" x14ac:dyDescent="0.2">
      <c r="A120" s="280"/>
      <c r="B120" s="280"/>
      <c r="C120" s="280"/>
      <c r="D120" s="280"/>
      <c r="E120" s="280"/>
      <c r="F120" s="280"/>
      <c r="G120" s="280"/>
      <c r="H120" s="280"/>
      <c r="I120" s="92"/>
      <c r="J120" s="92"/>
      <c r="K120" s="92"/>
      <c r="L120" s="92"/>
      <c r="M120" s="92"/>
      <c r="N120" s="92"/>
      <c r="O120" s="92"/>
      <c r="P120" s="92"/>
      <c r="Q120" s="92"/>
      <c r="R120" s="92"/>
      <c r="S120" s="92"/>
      <c r="T120" s="92"/>
      <c r="U120" s="92"/>
      <c r="V120" s="92"/>
      <c r="W120" s="92"/>
      <c r="X120" s="92"/>
      <c r="Y120" s="92"/>
      <c r="Z120" s="92"/>
    </row>
    <row r="121" spans="1:26" s="11" customFormat="1" ht="20.25" customHeight="1" x14ac:dyDescent="0.2">
      <c r="A121" s="280"/>
      <c r="B121" s="280"/>
      <c r="C121" s="280"/>
      <c r="D121" s="280"/>
      <c r="E121" s="280"/>
      <c r="F121" s="280"/>
      <c r="G121" s="280"/>
      <c r="H121" s="280"/>
      <c r="I121" s="92"/>
      <c r="J121" s="92"/>
      <c r="K121" s="92"/>
      <c r="L121" s="92"/>
      <c r="M121" s="92"/>
      <c r="N121" s="92"/>
      <c r="O121" s="92"/>
      <c r="P121" s="92"/>
      <c r="Q121" s="92"/>
      <c r="R121" s="92"/>
      <c r="S121" s="92"/>
      <c r="T121" s="92"/>
      <c r="U121" s="92"/>
      <c r="V121" s="92"/>
      <c r="W121" s="92"/>
      <c r="X121" s="92"/>
      <c r="Y121" s="92"/>
      <c r="Z121" s="92"/>
    </row>
    <row r="122" spans="1:26" s="11" customFormat="1" ht="12.75" x14ac:dyDescent="0.2">
      <c r="A122" s="280"/>
      <c r="B122" s="280"/>
      <c r="C122" s="280"/>
      <c r="D122" s="280"/>
      <c r="E122" s="280"/>
      <c r="F122" s="280"/>
      <c r="G122" s="280"/>
      <c r="H122" s="280"/>
      <c r="I122" s="92"/>
      <c r="J122" s="92"/>
      <c r="K122" s="92"/>
      <c r="L122" s="92"/>
      <c r="M122" s="92"/>
      <c r="N122" s="92"/>
      <c r="O122" s="92"/>
      <c r="P122" s="92"/>
      <c r="Q122" s="92"/>
      <c r="R122" s="92"/>
      <c r="S122" s="92"/>
      <c r="T122" s="92"/>
      <c r="U122" s="92"/>
      <c r="V122" s="92"/>
      <c r="W122" s="92"/>
      <c r="X122" s="92"/>
      <c r="Y122" s="92"/>
      <c r="Z122" s="92"/>
    </row>
    <row r="123" spans="1:26" s="11" customFormat="1" ht="87" customHeight="1" x14ac:dyDescent="0.2">
      <c r="A123" s="280"/>
      <c r="B123" s="280"/>
      <c r="C123" s="280"/>
      <c r="D123" s="280"/>
      <c r="E123" s="280"/>
      <c r="F123" s="280"/>
      <c r="G123" s="280"/>
      <c r="H123" s="280"/>
      <c r="I123" s="92"/>
      <c r="J123" s="92"/>
      <c r="K123" s="92"/>
      <c r="L123" s="92"/>
      <c r="M123" s="92"/>
      <c r="N123" s="92"/>
      <c r="O123" s="92"/>
      <c r="P123" s="92"/>
      <c r="Q123" s="92"/>
      <c r="R123" s="92"/>
      <c r="S123" s="92"/>
      <c r="T123" s="92"/>
      <c r="U123" s="92"/>
      <c r="V123" s="92"/>
      <c r="W123" s="92"/>
      <c r="X123" s="92"/>
      <c r="Y123" s="92"/>
      <c r="Z123" s="92"/>
    </row>
    <row r="124" spans="1:26" s="11" customFormat="1" ht="12.75" x14ac:dyDescent="0.2">
      <c r="A124" s="280"/>
      <c r="B124" s="280"/>
      <c r="C124" s="280"/>
      <c r="D124" s="280"/>
      <c r="E124" s="280"/>
      <c r="F124" s="280"/>
      <c r="G124" s="280"/>
      <c r="H124" s="280"/>
      <c r="I124" s="92"/>
      <c r="J124" s="92"/>
      <c r="K124" s="92"/>
      <c r="L124" s="92"/>
      <c r="M124" s="92"/>
      <c r="N124" s="92"/>
      <c r="O124" s="92"/>
      <c r="P124" s="92"/>
      <c r="Q124" s="92"/>
      <c r="R124" s="92"/>
      <c r="S124" s="92"/>
      <c r="T124" s="92"/>
      <c r="U124" s="92"/>
      <c r="V124" s="92"/>
      <c r="W124" s="92"/>
      <c r="X124" s="92"/>
      <c r="Y124" s="92"/>
      <c r="Z124" s="92"/>
    </row>
    <row r="125" spans="1:26" s="11" customFormat="1" ht="12.75" x14ac:dyDescent="0.2">
      <c r="A125" s="280"/>
      <c r="B125" s="280"/>
      <c r="C125" s="280"/>
      <c r="D125" s="280"/>
      <c r="E125" s="280"/>
      <c r="F125" s="280"/>
      <c r="G125" s="280"/>
      <c r="H125" s="280"/>
      <c r="I125" s="92"/>
      <c r="J125" s="92"/>
      <c r="K125" s="92"/>
      <c r="L125" s="92"/>
      <c r="M125" s="92"/>
      <c r="N125" s="92"/>
      <c r="O125" s="92"/>
      <c r="P125" s="92"/>
      <c r="Q125" s="92"/>
      <c r="R125" s="92"/>
      <c r="S125" s="92"/>
      <c r="T125" s="92"/>
      <c r="U125" s="92"/>
      <c r="V125" s="92"/>
      <c r="W125" s="92"/>
      <c r="X125" s="92"/>
      <c r="Y125" s="92"/>
      <c r="Z125" s="92"/>
    </row>
    <row r="126" spans="1:26" s="11" customFormat="1" ht="12.75" x14ac:dyDescent="0.2">
      <c r="A126" s="280"/>
      <c r="B126" s="280"/>
      <c r="C126" s="280"/>
      <c r="D126" s="280"/>
      <c r="E126" s="280"/>
      <c r="F126" s="280"/>
      <c r="G126" s="280"/>
      <c r="H126" s="280"/>
      <c r="I126" s="92"/>
      <c r="J126" s="92"/>
      <c r="K126" s="92"/>
      <c r="L126" s="92"/>
      <c r="M126" s="92"/>
      <c r="N126" s="92"/>
      <c r="O126" s="92"/>
      <c r="P126" s="92"/>
      <c r="Q126" s="92"/>
      <c r="R126" s="92"/>
      <c r="S126" s="92"/>
      <c r="T126" s="92"/>
      <c r="U126" s="92"/>
      <c r="V126" s="92"/>
      <c r="W126" s="92"/>
      <c r="X126" s="92"/>
      <c r="Y126" s="92"/>
      <c r="Z126" s="92"/>
    </row>
    <row r="127" spans="1:26" s="11" customFormat="1" ht="12.75" x14ac:dyDescent="0.2">
      <c r="A127" s="280"/>
      <c r="B127" s="280"/>
      <c r="C127" s="280"/>
      <c r="D127" s="280"/>
      <c r="E127" s="280"/>
      <c r="F127" s="280"/>
      <c r="G127" s="280"/>
      <c r="H127" s="280"/>
      <c r="I127" s="92"/>
      <c r="J127" s="92"/>
      <c r="K127" s="92"/>
      <c r="L127" s="92"/>
      <c r="M127" s="92"/>
      <c r="N127" s="92"/>
      <c r="O127" s="92"/>
      <c r="P127" s="92"/>
      <c r="Q127" s="92"/>
      <c r="R127" s="92"/>
      <c r="S127" s="92"/>
      <c r="T127" s="92"/>
      <c r="U127" s="92"/>
      <c r="V127" s="92"/>
      <c r="W127" s="92"/>
      <c r="X127" s="92"/>
      <c r="Y127" s="92"/>
      <c r="Z127" s="92"/>
    </row>
    <row r="128" spans="1:26" s="11" customFormat="1" ht="12.75" x14ac:dyDescent="0.2">
      <c r="A128" s="280"/>
      <c r="B128" s="280"/>
      <c r="C128" s="280"/>
      <c r="D128" s="280"/>
      <c r="E128" s="280"/>
      <c r="F128" s="280"/>
      <c r="G128" s="280"/>
      <c r="H128" s="280"/>
      <c r="I128" s="92"/>
      <c r="J128" s="92"/>
      <c r="K128" s="92"/>
      <c r="L128" s="92"/>
      <c r="M128" s="92"/>
      <c r="N128" s="92"/>
      <c r="O128" s="92"/>
      <c r="P128" s="92"/>
      <c r="Q128" s="92"/>
      <c r="R128" s="92"/>
      <c r="S128" s="92"/>
      <c r="T128" s="92"/>
      <c r="U128" s="92"/>
      <c r="V128" s="92"/>
      <c r="W128" s="92"/>
      <c r="X128" s="92"/>
      <c r="Y128" s="92"/>
      <c r="Z128" s="92"/>
    </row>
    <row r="129" spans="1:26" s="11" customFormat="1" ht="12.75" x14ac:dyDescent="0.2">
      <c r="A129" s="280"/>
      <c r="B129" s="280"/>
      <c r="C129" s="280"/>
      <c r="D129" s="280"/>
      <c r="E129" s="280"/>
      <c r="F129" s="280"/>
      <c r="G129" s="280"/>
      <c r="H129" s="280"/>
      <c r="I129" s="92"/>
      <c r="J129" s="92"/>
      <c r="K129" s="92"/>
      <c r="L129" s="92"/>
      <c r="M129" s="92"/>
      <c r="N129" s="92"/>
      <c r="O129" s="92"/>
      <c r="P129" s="92"/>
      <c r="Q129" s="92"/>
      <c r="R129" s="92"/>
      <c r="S129" s="92"/>
      <c r="T129" s="92"/>
      <c r="U129" s="92"/>
      <c r="V129" s="92"/>
      <c r="W129" s="92"/>
      <c r="X129" s="92"/>
      <c r="Y129" s="92"/>
      <c r="Z129" s="92"/>
    </row>
    <row r="130" spans="1:26" s="11" customFormat="1" ht="12.75" x14ac:dyDescent="0.2">
      <c r="A130" s="280"/>
      <c r="B130" s="280"/>
      <c r="C130" s="280"/>
      <c r="D130" s="280"/>
      <c r="E130" s="280"/>
      <c r="F130" s="280"/>
      <c r="G130" s="280"/>
      <c r="H130" s="280"/>
      <c r="I130" s="92"/>
      <c r="J130" s="92"/>
      <c r="K130" s="92"/>
      <c r="L130" s="92"/>
      <c r="M130" s="92"/>
      <c r="N130" s="92"/>
      <c r="O130" s="92"/>
      <c r="P130" s="92"/>
      <c r="Q130" s="92"/>
      <c r="R130" s="92"/>
      <c r="S130" s="92"/>
      <c r="T130" s="92"/>
      <c r="U130" s="92"/>
      <c r="V130" s="92"/>
      <c r="W130" s="92"/>
      <c r="X130" s="92"/>
      <c r="Y130" s="92"/>
      <c r="Z130" s="92"/>
    </row>
    <row r="131" spans="1:26" s="11" customFormat="1" ht="12.75" x14ac:dyDescent="0.2">
      <c r="A131" s="280"/>
      <c r="B131" s="280"/>
      <c r="C131" s="280"/>
      <c r="D131" s="280"/>
      <c r="E131" s="280"/>
      <c r="F131" s="280"/>
      <c r="G131" s="280"/>
      <c r="H131" s="280"/>
      <c r="I131" s="92"/>
      <c r="J131" s="92"/>
      <c r="K131" s="92"/>
      <c r="L131" s="92"/>
      <c r="M131" s="92"/>
      <c r="N131" s="92"/>
      <c r="O131" s="92"/>
      <c r="P131" s="92"/>
      <c r="Q131" s="92"/>
      <c r="R131" s="92"/>
      <c r="S131" s="92"/>
      <c r="T131" s="92"/>
      <c r="U131" s="92"/>
      <c r="V131" s="92"/>
      <c r="W131" s="92"/>
      <c r="X131" s="92"/>
      <c r="Y131" s="92"/>
      <c r="Z131" s="92"/>
    </row>
    <row r="132" spans="1:26" s="11" customFormat="1" ht="12.75" x14ac:dyDescent="0.2">
      <c r="A132" s="280"/>
      <c r="B132" s="280"/>
      <c r="C132" s="280"/>
      <c r="D132" s="280"/>
      <c r="E132" s="280"/>
      <c r="F132" s="280"/>
      <c r="G132" s="280"/>
      <c r="H132" s="280"/>
      <c r="I132" s="92"/>
      <c r="J132" s="92"/>
      <c r="K132" s="92"/>
      <c r="L132" s="92"/>
      <c r="M132" s="92"/>
      <c r="N132" s="92"/>
      <c r="O132" s="92"/>
      <c r="P132" s="92"/>
      <c r="Q132" s="92"/>
      <c r="R132" s="92"/>
      <c r="S132" s="92"/>
      <c r="T132" s="92"/>
      <c r="U132" s="92"/>
      <c r="V132" s="92"/>
      <c r="W132" s="92"/>
      <c r="X132" s="92"/>
      <c r="Y132" s="92"/>
      <c r="Z132" s="92"/>
    </row>
    <row r="133" spans="1:26" s="11" customFormat="1" ht="12.75" x14ac:dyDescent="0.2">
      <c r="A133" s="280"/>
      <c r="B133" s="280"/>
      <c r="C133" s="280"/>
      <c r="D133" s="280"/>
      <c r="E133" s="280"/>
      <c r="F133" s="280"/>
      <c r="G133" s="280"/>
      <c r="H133" s="280"/>
      <c r="I133" s="92"/>
      <c r="J133" s="92"/>
      <c r="K133" s="92"/>
      <c r="L133" s="92"/>
      <c r="M133" s="92"/>
      <c r="N133" s="92"/>
      <c r="O133" s="92"/>
      <c r="P133" s="92"/>
      <c r="Q133" s="92"/>
      <c r="R133" s="92"/>
      <c r="S133" s="92"/>
      <c r="T133" s="92"/>
      <c r="U133" s="92"/>
      <c r="V133" s="92"/>
      <c r="W133" s="92"/>
      <c r="X133" s="92"/>
      <c r="Y133" s="92"/>
      <c r="Z133" s="92"/>
    </row>
    <row r="134" spans="1:26" s="11" customFormat="1" ht="12.75" x14ac:dyDescent="0.2">
      <c r="A134" s="280"/>
      <c r="B134" s="280"/>
      <c r="C134" s="280"/>
      <c r="D134" s="280"/>
      <c r="E134" s="280"/>
      <c r="F134" s="280"/>
      <c r="G134" s="280"/>
      <c r="H134" s="280"/>
      <c r="I134" s="92"/>
      <c r="J134" s="92"/>
      <c r="K134" s="92"/>
      <c r="L134" s="92"/>
      <c r="M134" s="92"/>
      <c r="N134" s="92"/>
      <c r="O134" s="92"/>
      <c r="P134" s="92"/>
      <c r="Q134" s="92"/>
      <c r="R134" s="92"/>
      <c r="S134" s="92"/>
      <c r="T134" s="92"/>
      <c r="U134" s="92"/>
      <c r="V134" s="92"/>
      <c r="W134" s="92"/>
      <c r="X134" s="92"/>
      <c r="Y134" s="92"/>
      <c r="Z134" s="92"/>
    </row>
  </sheetData>
  <sheetProtection password="EA99" sheet="1" objects="1" scenarios="1"/>
  <mergeCells count="11">
    <mergeCell ref="A1:H1"/>
    <mergeCell ref="A2:H2"/>
    <mergeCell ref="A20:C20"/>
    <mergeCell ref="A68:H68"/>
    <mergeCell ref="A8:C8"/>
    <mergeCell ref="A69:H69"/>
    <mergeCell ref="A43:C43"/>
    <mergeCell ref="A39:D39"/>
    <mergeCell ref="A9:D9"/>
    <mergeCell ref="A66:H66"/>
    <mergeCell ref="A67:H67"/>
  </mergeCells>
  <phoneticPr fontId="0" type="noConversion"/>
  <dataValidations xWindow="273" yWindow="174" count="1">
    <dataValidation allowBlank="1" showInputMessage="1" showErrorMessage="1" prompt="DOE's sales tax figure will automatically appear in this box.  You can also enter your most recent estimate, if it differs from the department's figure." sqref="F39"/>
  </dataValidations>
  <hyperlinks>
    <hyperlink ref="A9" r:id="rId1" display="(See Attachment D, Chart of Accounts, for 2004-2005 ASRFIN)"/>
    <hyperlink ref="A9:D9" r:id="rId2" display="Click here for Chart of Accounts"/>
  </hyperlinks>
  <printOptions horizontalCentered="1"/>
  <pageMargins left="0.34" right="0.31" top="0.5" bottom="0.5" header="0.5" footer="0.5"/>
  <pageSetup scale="56" orientation="portrait" r:id="rId3"/>
  <headerFooter alignWithMargins="0"/>
  <rowBreaks count="1" manualBreakCount="1">
    <brk id="64" max="7" man="1"/>
  </rowBreaks>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33"/>
  <sheetViews>
    <sheetView workbookViewId="0">
      <selection activeCell="A9" sqref="A9"/>
    </sheetView>
  </sheetViews>
  <sheetFormatPr defaultRowHeight="12.75" x14ac:dyDescent="0.2"/>
  <cols>
    <col min="1" max="1" width="37.7109375" bestFit="1" customWidth="1"/>
    <col min="3" max="3" width="24.28515625" bestFit="1" customWidth="1"/>
  </cols>
  <sheetData>
    <row r="1" spans="1:3" ht="15.75" x14ac:dyDescent="0.25">
      <c r="A1" s="28" t="s">
        <v>633</v>
      </c>
      <c r="B1" s="76"/>
      <c r="C1" s="221" t="s">
        <v>8</v>
      </c>
    </row>
    <row r="2" spans="1:3" ht="15" x14ac:dyDescent="0.2">
      <c r="A2" s="3" t="s">
        <v>9</v>
      </c>
      <c r="B2" s="76">
        <v>1</v>
      </c>
      <c r="C2" t="s">
        <v>455</v>
      </c>
    </row>
    <row r="3" spans="1:3" ht="15" x14ac:dyDescent="0.2">
      <c r="A3" s="3" t="s">
        <v>10</v>
      </c>
      <c r="B3" s="76">
        <v>2</v>
      </c>
      <c r="C3" t="s">
        <v>456</v>
      </c>
    </row>
    <row r="4" spans="1:3" ht="15" x14ac:dyDescent="0.2">
      <c r="A4" s="3" t="s">
        <v>276</v>
      </c>
      <c r="B4" s="76">
        <v>3</v>
      </c>
      <c r="C4" t="s">
        <v>457</v>
      </c>
    </row>
    <row r="5" spans="1:3" ht="15" x14ac:dyDescent="0.2">
      <c r="A5" s="3" t="s">
        <v>11</v>
      </c>
      <c r="B5" s="76">
        <v>4</v>
      </c>
      <c r="C5" t="s">
        <v>458</v>
      </c>
    </row>
    <row r="6" spans="1:3" ht="15" x14ac:dyDescent="0.2">
      <c r="A6" s="3" t="s">
        <v>12</v>
      </c>
      <c r="B6" s="76">
        <v>5</v>
      </c>
      <c r="C6" t="s">
        <v>459</v>
      </c>
    </row>
    <row r="7" spans="1:3" ht="15" x14ac:dyDescent="0.2">
      <c r="A7" s="3" t="s">
        <v>13</v>
      </c>
      <c r="B7" s="76">
        <v>6</v>
      </c>
      <c r="C7" t="s">
        <v>460</v>
      </c>
    </row>
    <row r="8" spans="1:3" ht="15" x14ac:dyDescent="0.2">
      <c r="A8" s="3" t="s">
        <v>14</v>
      </c>
      <c r="B8" s="76">
        <v>7</v>
      </c>
      <c r="C8" t="s">
        <v>461</v>
      </c>
    </row>
    <row r="9" spans="1:3" ht="15" x14ac:dyDescent="0.2">
      <c r="A9" s="3" t="s">
        <v>15</v>
      </c>
      <c r="B9" s="76">
        <v>8</v>
      </c>
      <c r="C9" t="s">
        <v>462</v>
      </c>
    </row>
    <row r="10" spans="1:3" ht="15" x14ac:dyDescent="0.2">
      <c r="A10" s="3" t="s">
        <v>16</v>
      </c>
      <c r="B10" s="76">
        <v>9</v>
      </c>
      <c r="C10" t="s">
        <v>463</v>
      </c>
    </row>
    <row r="11" spans="1:3" ht="15" x14ac:dyDescent="0.2">
      <c r="A11" s="3" t="s">
        <v>591</v>
      </c>
      <c r="B11" s="76">
        <v>10</v>
      </c>
      <c r="C11" t="s">
        <v>592</v>
      </c>
    </row>
    <row r="12" spans="1:3" ht="15" x14ac:dyDescent="0.2">
      <c r="A12" s="3" t="s">
        <v>17</v>
      </c>
      <c r="B12" s="76">
        <v>11</v>
      </c>
      <c r="C12" t="s">
        <v>464</v>
      </c>
    </row>
    <row r="13" spans="1:3" ht="15" x14ac:dyDescent="0.2">
      <c r="A13" s="3" t="s">
        <v>18</v>
      </c>
      <c r="B13" s="76">
        <v>12</v>
      </c>
      <c r="C13" t="s">
        <v>465</v>
      </c>
    </row>
    <row r="14" spans="1:3" ht="15" x14ac:dyDescent="0.2">
      <c r="A14" s="3" t="s">
        <v>19</v>
      </c>
      <c r="B14" s="76">
        <v>13</v>
      </c>
      <c r="C14" t="s">
        <v>466</v>
      </c>
    </row>
    <row r="15" spans="1:3" ht="15" x14ac:dyDescent="0.2">
      <c r="A15" s="3" t="s">
        <v>20</v>
      </c>
      <c r="B15" s="76">
        <v>14</v>
      </c>
      <c r="C15" t="s">
        <v>467</v>
      </c>
    </row>
    <row r="16" spans="1:3" ht="15" x14ac:dyDescent="0.2">
      <c r="A16" s="3" t="s">
        <v>21</v>
      </c>
      <c r="B16" s="76">
        <v>15</v>
      </c>
      <c r="C16" t="s">
        <v>468</v>
      </c>
    </row>
    <row r="17" spans="1:3" ht="15" x14ac:dyDescent="0.2">
      <c r="A17" s="3" t="s">
        <v>22</v>
      </c>
      <c r="B17" s="76">
        <v>16</v>
      </c>
      <c r="C17" t="s">
        <v>469</v>
      </c>
    </row>
    <row r="18" spans="1:3" ht="15" x14ac:dyDescent="0.2">
      <c r="A18" s="3" t="s">
        <v>23</v>
      </c>
      <c r="B18" s="76">
        <v>17</v>
      </c>
      <c r="C18" t="s">
        <v>470</v>
      </c>
    </row>
    <row r="19" spans="1:3" ht="15" x14ac:dyDescent="0.2">
      <c r="A19" s="3" t="s">
        <v>24</v>
      </c>
      <c r="B19" s="76">
        <v>18</v>
      </c>
      <c r="C19" t="s">
        <v>471</v>
      </c>
    </row>
    <row r="20" spans="1:3" ht="15" x14ac:dyDescent="0.2">
      <c r="A20" s="3" t="s">
        <v>25</v>
      </c>
      <c r="B20" s="76">
        <v>19</v>
      </c>
      <c r="C20" t="s">
        <v>472</v>
      </c>
    </row>
    <row r="21" spans="1:3" ht="15" x14ac:dyDescent="0.2">
      <c r="A21" s="3" t="s">
        <v>26</v>
      </c>
      <c r="B21" s="76">
        <v>20</v>
      </c>
      <c r="C21" t="s">
        <v>473</v>
      </c>
    </row>
    <row r="22" spans="1:3" ht="15" x14ac:dyDescent="0.2">
      <c r="A22" s="3" t="s">
        <v>27</v>
      </c>
      <c r="B22" s="76">
        <v>21</v>
      </c>
      <c r="C22" t="s">
        <v>474</v>
      </c>
    </row>
    <row r="23" spans="1:3" ht="15" x14ac:dyDescent="0.2">
      <c r="A23" s="3" t="s">
        <v>28</v>
      </c>
      <c r="B23" s="76">
        <v>22</v>
      </c>
      <c r="C23" t="s">
        <v>475</v>
      </c>
    </row>
    <row r="24" spans="1:3" ht="15" x14ac:dyDescent="0.2">
      <c r="A24" s="3" t="s">
        <v>29</v>
      </c>
      <c r="B24" s="76">
        <v>23</v>
      </c>
      <c r="C24" t="s">
        <v>476</v>
      </c>
    </row>
    <row r="25" spans="1:3" ht="15" x14ac:dyDescent="0.2">
      <c r="A25" s="3" t="s">
        <v>30</v>
      </c>
      <c r="B25" s="76">
        <v>24</v>
      </c>
      <c r="C25" t="s">
        <v>477</v>
      </c>
    </row>
    <row r="26" spans="1:3" ht="15" x14ac:dyDescent="0.2">
      <c r="A26" s="3" t="s">
        <v>31</v>
      </c>
      <c r="B26" s="76">
        <v>25</v>
      </c>
      <c r="C26" t="s">
        <v>478</v>
      </c>
    </row>
    <row r="27" spans="1:3" ht="15" x14ac:dyDescent="0.2">
      <c r="A27" s="3" t="s">
        <v>32</v>
      </c>
      <c r="B27" s="76">
        <v>26</v>
      </c>
      <c r="C27" t="s">
        <v>479</v>
      </c>
    </row>
    <row r="28" spans="1:3" ht="15" x14ac:dyDescent="0.2">
      <c r="A28" s="3" t="s">
        <v>33</v>
      </c>
      <c r="B28" s="76">
        <v>27</v>
      </c>
      <c r="C28" t="s">
        <v>480</v>
      </c>
    </row>
    <row r="29" spans="1:3" ht="15" x14ac:dyDescent="0.2">
      <c r="A29" s="3" t="s">
        <v>34</v>
      </c>
      <c r="B29" s="76">
        <v>28</v>
      </c>
      <c r="C29" t="s">
        <v>481</v>
      </c>
    </row>
    <row r="30" spans="1:3" ht="15" x14ac:dyDescent="0.2">
      <c r="A30" s="3" t="s">
        <v>595</v>
      </c>
      <c r="B30" s="76">
        <v>29</v>
      </c>
      <c r="C30" t="s">
        <v>594</v>
      </c>
    </row>
    <row r="31" spans="1:3" ht="15" x14ac:dyDescent="0.2">
      <c r="A31" s="3" t="s">
        <v>35</v>
      </c>
      <c r="B31" s="76">
        <v>30</v>
      </c>
      <c r="C31" t="s">
        <v>482</v>
      </c>
    </row>
    <row r="32" spans="1:3" ht="15" x14ac:dyDescent="0.2">
      <c r="A32" s="3" t="s">
        <v>36</v>
      </c>
      <c r="B32" s="76">
        <v>31</v>
      </c>
      <c r="C32" t="s">
        <v>483</v>
      </c>
    </row>
    <row r="33" spans="1:3" ht="15" x14ac:dyDescent="0.2">
      <c r="A33" s="3" t="s">
        <v>37</v>
      </c>
      <c r="B33" s="76">
        <v>32</v>
      </c>
      <c r="C33" t="s">
        <v>484</v>
      </c>
    </row>
    <row r="34" spans="1:3" ht="15" x14ac:dyDescent="0.2">
      <c r="A34" s="3" t="s">
        <v>38</v>
      </c>
      <c r="B34" s="76">
        <v>33</v>
      </c>
      <c r="C34" t="s">
        <v>485</v>
      </c>
    </row>
    <row r="35" spans="1:3" ht="15" x14ac:dyDescent="0.2">
      <c r="A35" s="3" t="s">
        <v>39</v>
      </c>
      <c r="B35" s="76">
        <v>34</v>
      </c>
      <c r="C35" t="s">
        <v>486</v>
      </c>
    </row>
    <row r="36" spans="1:3" ht="15" x14ac:dyDescent="0.2">
      <c r="A36" s="3" t="s">
        <v>40</v>
      </c>
      <c r="B36" s="76">
        <v>35</v>
      </c>
      <c r="C36" t="s">
        <v>487</v>
      </c>
    </row>
    <row r="37" spans="1:3" ht="15" x14ac:dyDescent="0.2">
      <c r="A37" s="3" t="s">
        <v>41</v>
      </c>
      <c r="B37" s="76">
        <v>36</v>
      </c>
      <c r="C37" t="s">
        <v>488</v>
      </c>
    </row>
    <row r="38" spans="1:3" ht="15" x14ac:dyDescent="0.2">
      <c r="A38" s="3" t="s">
        <v>42</v>
      </c>
      <c r="B38" s="76">
        <v>37</v>
      </c>
      <c r="C38" t="s">
        <v>489</v>
      </c>
    </row>
    <row r="39" spans="1:3" ht="15" x14ac:dyDescent="0.2">
      <c r="A39" s="3" t="s">
        <v>43</v>
      </c>
      <c r="B39" s="76">
        <v>38</v>
      </c>
      <c r="C39" t="s">
        <v>490</v>
      </c>
    </row>
    <row r="40" spans="1:3" ht="15" x14ac:dyDescent="0.2">
      <c r="A40" s="3" t="s">
        <v>44</v>
      </c>
      <c r="B40" s="76">
        <v>39</v>
      </c>
      <c r="C40" t="s">
        <v>491</v>
      </c>
    </row>
    <row r="41" spans="1:3" ht="15" x14ac:dyDescent="0.2">
      <c r="A41" s="3" t="s">
        <v>590</v>
      </c>
      <c r="B41" s="76">
        <v>40</v>
      </c>
      <c r="C41" t="s">
        <v>596</v>
      </c>
    </row>
    <row r="42" spans="1:3" ht="15" x14ac:dyDescent="0.2">
      <c r="A42" s="3" t="s">
        <v>45</v>
      </c>
      <c r="B42" s="76">
        <v>41</v>
      </c>
      <c r="C42" t="s">
        <v>492</v>
      </c>
    </row>
    <row r="43" spans="1:3" ht="15" x14ac:dyDescent="0.2">
      <c r="A43" s="3" t="s">
        <v>46</v>
      </c>
      <c r="B43" s="76">
        <v>42</v>
      </c>
      <c r="C43" t="s">
        <v>493</v>
      </c>
    </row>
    <row r="44" spans="1:3" ht="15" x14ac:dyDescent="0.2">
      <c r="A44" s="3" t="s">
        <v>47</v>
      </c>
      <c r="B44" s="76">
        <v>43</v>
      </c>
      <c r="C44" t="s">
        <v>494</v>
      </c>
    </row>
    <row r="45" spans="1:3" ht="15" x14ac:dyDescent="0.2">
      <c r="A45" s="3" t="s">
        <v>48</v>
      </c>
      <c r="B45" s="76">
        <v>44</v>
      </c>
      <c r="C45" t="s">
        <v>495</v>
      </c>
    </row>
    <row r="46" spans="1:3" ht="15" x14ac:dyDescent="0.2">
      <c r="A46" s="3" t="s">
        <v>49</v>
      </c>
      <c r="B46" s="76">
        <v>45</v>
      </c>
      <c r="C46" t="s">
        <v>496</v>
      </c>
    </row>
    <row r="47" spans="1:3" ht="15" x14ac:dyDescent="0.2">
      <c r="A47" s="3" t="s">
        <v>50</v>
      </c>
      <c r="B47" s="76">
        <v>46</v>
      </c>
      <c r="C47" t="s">
        <v>497</v>
      </c>
    </row>
    <row r="48" spans="1:3" ht="15" x14ac:dyDescent="0.2">
      <c r="A48" s="3" t="s">
        <v>51</v>
      </c>
      <c r="B48" s="76">
        <v>48</v>
      </c>
      <c r="C48" t="s">
        <v>498</v>
      </c>
    </row>
    <row r="49" spans="1:3" ht="15" x14ac:dyDescent="0.2">
      <c r="A49" s="3" t="s">
        <v>52</v>
      </c>
      <c r="B49" s="76">
        <v>49</v>
      </c>
      <c r="C49" t="s">
        <v>499</v>
      </c>
    </row>
    <row r="50" spans="1:3" ht="15" x14ac:dyDescent="0.2">
      <c r="A50" s="3" t="s">
        <v>53</v>
      </c>
      <c r="B50" s="76">
        <v>50</v>
      </c>
      <c r="C50" t="s">
        <v>500</v>
      </c>
    </row>
    <row r="51" spans="1:3" ht="15" x14ac:dyDescent="0.2">
      <c r="A51" s="3" t="s">
        <v>54</v>
      </c>
      <c r="B51" s="76">
        <v>51</v>
      </c>
      <c r="C51" t="s">
        <v>501</v>
      </c>
    </row>
    <row r="52" spans="1:3" ht="15" x14ac:dyDescent="0.2">
      <c r="A52" s="3" t="s">
        <v>55</v>
      </c>
      <c r="B52" s="76">
        <v>52</v>
      </c>
      <c r="C52" t="s">
        <v>502</v>
      </c>
    </row>
    <row r="53" spans="1:3" ht="15" x14ac:dyDescent="0.2">
      <c r="A53" s="3" t="s">
        <v>56</v>
      </c>
      <c r="B53" s="76">
        <v>53</v>
      </c>
      <c r="C53" t="s">
        <v>503</v>
      </c>
    </row>
    <row r="54" spans="1:3" ht="15" x14ac:dyDescent="0.2">
      <c r="A54" s="3" t="s">
        <v>57</v>
      </c>
      <c r="B54" s="76">
        <v>54</v>
      </c>
      <c r="C54" t="s">
        <v>504</v>
      </c>
    </row>
    <row r="55" spans="1:3" ht="15" x14ac:dyDescent="0.2">
      <c r="A55" s="3" t="s">
        <v>58</v>
      </c>
      <c r="B55" s="76">
        <v>55</v>
      </c>
      <c r="C55" t="s">
        <v>505</v>
      </c>
    </row>
    <row r="56" spans="1:3" ht="15" x14ac:dyDescent="0.2">
      <c r="A56" s="3" t="s">
        <v>59</v>
      </c>
      <c r="B56" s="76">
        <v>56</v>
      </c>
      <c r="C56" t="s">
        <v>506</v>
      </c>
    </row>
    <row r="57" spans="1:3" ht="15" x14ac:dyDescent="0.2">
      <c r="A57" s="3" t="s">
        <v>60</v>
      </c>
      <c r="B57" s="76">
        <v>57</v>
      </c>
      <c r="C57" t="s">
        <v>507</v>
      </c>
    </row>
    <row r="58" spans="1:3" ht="15" x14ac:dyDescent="0.2">
      <c r="A58" s="3" t="s">
        <v>61</v>
      </c>
      <c r="B58" s="76">
        <v>58</v>
      </c>
      <c r="C58" t="s">
        <v>508</v>
      </c>
    </row>
    <row r="59" spans="1:3" ht="15" x14ac:dyDescent="0.2">
      <c r="A59" s="3" t="s">
        <v>62</v>
      </c>
      <c r="B59" s="76">
        <v>59</v>
      </c>
      <c r="C59" t="s">
        <v>509</v>
      </c>
    </row>
    <row r="60" spans="1:3" ht="15" x14ac:dyDescent="0.2">
      <c r="A60" s="3" t="s">
        <v>63</v>
      </c>
      <c r="B60" s="76">
        <v>60</v>
      </c>
      <c r="C60" t="s">
        <v>510</v>
      </c>
    </row>
    <row r="61" spans="1:3" ht="15" x14ac:dyDescent="0.2">
      <c r="A61" s="3" t="s">
        <v>64</v>
      </c>
      <c r="B61" s="76">
        <v>62</v>
      </c>
      <c r="C61" t="s">
        <v>511</v>
      </c>
    </row>
    <row r="62" spans="1:3" ht="15" x14ac:dyDescent="0.2">
      <c r="A62" s="3" t="s">
        <v>65</v>
      </c>
      <c r="B62" s="76">
        <v>63</v>
      </c>
      <c r="C62" t="s">
        <v>512</v>
      </c>
    </row>
    <row r="63" spans="1:3" ht="15" x14ac:dyDescent="0.2">
      <c r="A63" s="3" t="s">
        <v>66</v>
      </c>
      <c r="B63" s="76">
        <v>65</v>
      </c>
      <c r="C63" t="s">
        <v>513</v>
      </c>
    </row>
    <row r="64" spans="1:3" ht="15" x14ac:dyDescent="0.2">
      <c r="A64" s="3" t="s">
        <v>67</v>
      </c>
      <c r="B64" s="76">
        <v>66</v>
      </c>
      <c r="C64" t="s">
        <v>514</v>
      </c>
    </row>
    <row r="65" spans="1:3" ht="15" x14ac:dyDescent="0.2">
      <c r="A65" s="3" t="s">
        <v>68</v>
      </c>
      <c r="B65" s="76">
        <v>67</v>
      </c>
      <c r="C65" t="s">
        <v>515</v>
      </c>
    </row>
    <row r="66" spans="1:3" ht="15" x14ac:dyDescent="0.2">
      <c r="A66" s="3" t="s">
        <v>69</v>
      </c>
      <c r="B66" s="76">
        <v>68</v>
      </c>
      <c r="C66" t="s">
        <v>516</v>
      </c>
    </row>
    <row r="67" spans="1:3" ht="15" x14ac:dyDescent="0.2">
      <c r="A67" s="3" t="s">
        <v>70</v>
      </c>
      <c r="B67" s="76">
        <v>69</v>
      </c>
      <c r="C67" t="s">
        <v>517</v>
      </c>
    </row>
    <row r="68" spans="1:3" ht="15" x14ac:dyDescent="0.2">
      <c r="A68" s="3" t="s">
        <v>71</v>
      </c>
      <c r="B68" s="76">
        <v>70</v>
      </c>
      <c r="C68" t="s">
        <v>518</v>
      </c>
    </row>
    <row r="69" spans="1:3" ht="15" x14ac:dyDescent="0.2">
      <c r="A69" s="3" t="s">
        <v>72</v>
      </c>
      <c r="B69" s="76">
        <v>71</v>
      </c>
      <c r="C69" t="s">
        <v>519</v>
      </c>
    </row>
    <row r="70" spans="1:3" ht="15" x14ac:dyDescent="0.2">
      <c r="A70" s="3" t="s">
        <v>73</v>
      </c>
      <c r="B70" s="76">
        <v>72</v>
      </c>
      <c r="C70" t="s">
        <v>520</v>
      </c>
    </row>
    <row r="71" spans="1:3" ht="15" x14ac:dyDescent="0.2">
      <c r="A71" s="3" t="s">
        <v>74</v>
      </c>
      <c r="B71" s="76">
        <v>73</v>
      </c>
      <c r="C71" t="s">
        <v>521</v>
      </c>
    </row>
    <row r="72" spans="1:3" ht="15" x14ac:dyDescent="0.2">
      <c r="A72" s="3" t="s">
        <v>75</v>
      </c>
      <c r="B72" s="76">
        <v>74</v>
      </c>
      <c r="C72" t="s">
        <v>522</v>
      </c>
    </row>
    <row r="73" spans="1:3" ht="15" x14ac:dyDescent="0.2">
      <c r="A73" s="3" t="s">
        <v>76</v>
      </c>
      <c r="B73" s="76">
        <v>75</v>
      </c>
      <c r="C73" t="s">
        <v>523</v>
      </c>
    </row>
    <row r="74" spans="1:3" ht="15" x14ac:dyDescent="0.2">
      <c r="A74" s="3" t="s">
        <v>77</v>
      </c>
      <c r="B74" s="76">
        <v>77</v>
      </c>
      <c r="C74" t="s">
        <v>524</v>
      </c>
    </row>
    <row r="75" spans="1:3" ht="15" x14ac:dyDescent="0.2">
      <c r="A75" s="3" t="s">
        <v>78</v>
      </c>
      <c r="B75" s="76">
        <v>78</v>
      </c>
      <c r="C75" t="s">
        <v>525</v>
      </c>
    </row>
    <row r="76" spans="1:3" ht="15" x14ac:dyDescent="0.2">
      <c r="A76" s="3" t="s">
        <v>79</v>
      </c>
      <c r="B76" s="76">
        <v>79</v>
      </c>
      <c r="C76" t="s">
        <v>526</v>
      </c>
    </row>
    <row r="77" spans="1:3" ht="15" x14ac:dyDescent="0.2">
      <c r="A77" s="3" t="s">
        <v>80</v>
      </c>
      <c r="B77" s="76">
        <v>80</v>
      </c>
      <c r="C77" t="s">
        <v>527</v>
      </c>
    </row>
    <row r="78" spans="1:3" ht="15" x14ac:dyDescent="0.2">
      <c r="A78" s="3" t="s">
        <v>81</v>
      </c>
      <c r="B78" s="76">
        <v>81</v>
      </c>
      <c r="C78" t="s">
        <v>528</v>
      </c>
    </row>
    <row r="79" spans="1:3" ht="15" x14ac:dyDescent="0.2">
      <c r="A79" s="3" t="s">
        <v>82</v>
      </c>
      <c r="B79" s="76">
        <v>82</v>
      </c>
      <c r="C79" t="s">
        <v>529</v>
      </c>
    </row>
    <row r="80" spans="1:3" ht="15" x14ac:dyDescent="0.2">
      <c r="A80" s="3" t="s">
        <v>83</v>
      </c>
      <c r="B80" s="76">
        <v>83</v>
      </c>
      <c r="C80" t="s">
        <v>530</v>
      </c>
    </row>
    <row r="81" spans="1:3" ht="15" x14ac:dyDescent="0.2">
      <c r="A81" s="3" t="s">
        <v>84</v>
      </c>
      <c r="B81" s="76">
        <v>84</v>
      </c>
      <c r="C81" t="s">
        <v>531</v>
      </c>
    </row>
    <row r="82" spans="1:3" ht="15" x14ac:dyDescent="0.2">
      <c r="A82" s="3" t="s">
        <v>85</v>
      </c>
      <c r="B82" s="76">
        <v>85</v>
      </c>
      <c r="C82" t="s">
        <v>532</v>
      </c>
    </row>
    <row r="83" spans="1:3" ht="15" x14ac:dyDescent="0.2">
      <c r="A83" s="3" t="s">
        <v>86</v>
      </c>
      <c r="B83" s="76">
        <v>86</v>
      </c>
      <c r="C83" t="s">
        <v>533</v>
      </c>
    </row>
    <row r="84" spans="1:3" ht="15" x14ac:dyDescent="0.2">
      <c r="A84" s="3" t="s">
        <v>87</v>
      </c>
      <c r="B84" s="76">
        <v>87</v>
      </c>
      <c r="C84" t="s">
        <v>534</v>
      </c>
    </row>
    <row r="85" spans="1:3" ht="15" x14ac:dyDescent="0.2">
      <c r="A85" s="3" t="s">
        <v>88</v>
      </c>
      <c r="B85" s="76">
        <v>88</v>
      </c>
      <c r="C85" t="s">
        <v>535</v>
      </c>
    </row>
    <row r="86" spans="1:3" ht="15" x14ac:dyDescent="0.2">
      <c r="A86" s="3" t="s">
        <v>89</v>
      </c>
      <c r="B86" s="76">
        <v>89</v>
      </c>
      <c r="C86" t="s">
        <v>536</v>
      </c>
    </row>
    <row r="87" spans="1:3" ht="15" x14ac:dyDescent="0.2">
      <c r="A87" s="3" t="s">
        <v>90</v>
      </c>
      <c r="B87" s="76">
        <v>90</v>
      </c>
      <c r="C87" t="s">
        <v>537</v>
      </c>
    </row>
    <row r="88" spans="1:3" ht="15" x14ac:dyDescent="0.2">
      <c r="A88" s="3" t="s">
        <v>91</v>
      </c>
      <c r="B88" s="76">
        <v>91</v>
      </c>
      <c r="C88" t="s">
        <v>538</v>
      </c>
    </row>
    <row r="89" spans="1:3" ht="15" x14ac:dyDescent="0.2">
      <c r="A89" s="3" t="s">
        <v>92</v>
      </c>
      <c r="B89" s="76">
        <v>92</v>
      </c>
      <c r="C89" t="s">
        <v>539</v>
      </c>
    </row>
    <row r="90" spans="1:3" ht="15" x14ac:dyDescent="0.2">
      <c r="A90" s="3" t="s">
        <v>93</v>
      </c>
      <c r="B90" s="76">
        <v>93</v>
      </c>
      <c r="C90" t="s">
        <v>540</v>
      </c>
    </row>
    <row r="91" spans="1:3" ht="15" x14ac:dyDescent="0.2">
      <c r="A91" s="3" t="s">
        <v>94</v>
      </c>
      <c r="B91" s="76">
        <v>94</v>
      </c>
      <c r="C91" t="s">
        <v>541</v>
      </c>
    </row>
    <row r="92" spans="1:3" ht="15" x14ac:dyDescent="0.2">
      <c r="A92" s="3" t="s">
        <v>95</v>
      </c>
      <c r="B92" s="76">
        <v>95</v>
      </c>
      <c r="C92" t="s">
        <v>542</v>
      </c>
    </row>
    <row r="93" spans="1:3" ht="15" x14ac:dyDescent="0.2">
      <c r="A93" s="3" t="s">
        <v>96</v>
      </c>
      <c r="B93" s="76">
        <v>96</v>
      </c>
      <c r="C93" t="s">
        <v>543</v>
      </c>
    </row>
    <row r="94" spans="1:3" ht="15" x14ac:dyDescent="0.2">
      <c r="A94" s="3" t="s">
        <v>97</v>
      </c>
      <c r="B94" s="76">
        <v>97</v>
      </c>
      <c r="C94" t="s">
        <v>544</v>
      </c>
    </row>
    <row r="95" spans="1:3" ht="15" x14ac:dyDescent="0.2">
      <c r="A95" s="3" t="s">
        <v>98</v>
      </c>
      <c r="B95" s="76">
        <v>98</v>
      </c>
      <c r="C95" t="s">
        <v>545</v>
      </c>
    </row>
    <row r="96" spans="1:3" ht="15" x14ac:dyDescent="0.2">
      <c r="A96" s="3" t="s">
        <v>99</v>
      </c>
      <c r="B96" s="76">
        <v>101</v>
      </c>
      <c r="C96" t="s">
        <v>546</v>
      </c>
    </row>
    <row r="97" spans="1:3" ht="15" x14ac:dyDescent="0.2">
      <c r="A97" s="3" t="s">
        <v>100</v>
      </c>
      <c r="B97" s="76">
        <v>102</v>
      </c>
      <c r="C97" t="s">
        <v>547</v>
      </c>
    </row>
    <row r="98" spans="1:3" ht="15" x14ac:dyDescent="0.2">
      <c r="A98" s="3" t="s">
        <v>101</v>
      </c>
      <c r="B98" s="76">
        <v>103</v>
      </c>
      <c r="C98" t="s">
        <v>548</v>
      </c>
    </row>
    <row r="99" spans="1:3" ht="15" x14ac:dyDescent="0.2">
      <c r="A99" s="3" t="s">
        <v>102</v>
      </c>
      <c r="B99" s="76">
        <v>104</v>
      </c>
      <c r="C99" t="s">
        <v>549</v>
      </c>
    </row>
    <row r="100" spans="1:3" ht="15" x14ac:dyDescent="0.2">
      <c r="A100" s="3" t="s">
        <v>103</v>
      </c>
      <c r="B100" s="76">
        <v>106</v>
      </c>
      <c r="C100" t="s">
        <v>550</v>
      </c>
    </row>
    <row r="101" spans="1:3" ht="15" x14ac:dyDescent="0.2">
      <c r="A101" s="3" t="s">
        <v>104</v>
      </c>
      <c r="B101" s="76">
        <v>107</v>
      </c>
      <c r="C101" t="s">
        <v>551</v>
      </c>
    </row>
    <row r="102" spans="1:3" ht="15" x14ac:dyDescent="0.2">
      <c r="A102" s="3" t="s">
        <v>105</v>
      </c>
      <c r="B102" s="76">
        <v>108</v>
      </c>
      <c r="C102" t="s">
        <v>552</v>
      </c>
    </row>
    <row r="103" spans="1:3" ht="15" x14ac:dyDescent="0.2">
      <c r="A103" s="3" t="s">
        <v>106</v>
      </c>
      <c r="B103" s="76">
        <v>109</v>
      </c>
      <c r="C103" t="s">
        <v>553</v>
      </c>
    </row>
    <row r="104" spans="1:3" ht="15" x14ac:dyDescent="0.2">
      <c r="A104" s="3" t="s">
        <v>107</v>
      </c>
      <c r="B104" s="76">
        <v>110</v>
      </c>
      <c r="C104" t="s">
        <v>554</v>
      </c>
    </row>
    <row r="105" spans="1:3" ht="15" x14ac:dyDescent="0.2">
      <c r="A105" s="3" t="s">
        <v>108</v>
      </c>
      <c r="B105" s="76">
        <v>111</v>
      </c>
      <c r="C105" t="s">
        <v>555</v>
      </c>
    </row>
    <row r="106" spans="1:3" ht="15" x14ac:dyDescent="0.2">
      <c r="A106" s="3" t="s">
        <v>109</v>
      </c>
      <c r="B106" s="76">
        <v>112</v>
      </c>
      <c r="C106" t="s">
        <v>556</v>
      </c>
    </row>
    <row r="107" spans="1:3" ht="15" x14ac:dyDescent="0.2">
      <c r="A107" s="3" t="s">
        <v>110</v>
      </c>
      <c r="B107" s="76">
        <v>113</v>
      </c>
      <c r="C107" t="s">
        <v>557</v>
      </c>
    </row>
    <row r="108" spans="1:3" ht="15" x14ac:dyDescent="0.2">
      <c r="A108" s="3" t="s">
        <v>111</v>
      </c>
      <c r="B108" s="76">
        <v>114</v>
      </c>
      <c r="C108" t="s">
        <v>558</v>
      </c>
    </row>
    <row r="109" spans="1:3" ht="15" x14ac:dyDescent="0.2">
      <c r="A109" s="3" t="s">
        <v>112</v>
      </c>
      <c r="B109" s="76">
        <v>115</v>
      </c>
      <c r="C109" t="s">
        <v>559</v>
      </c>
    </row>
    <row r="110" spans="1:3" ht="15" x14ac:dyDescent="0.2">
      <c r="A110" s="3" t="s">
        <v>113</v>
      </c>
      <c r="B110" s="76">
        <v>116</v>
      </c>
      <c r="C110" t="s">
        <v>560</v>
      </c>
    </row>
    <row r="111" spans="1:3" ht="15" x14ac:dyDescent="0.2">
      <c r="A111" s="3" t="s">
        <v>114</v>
      </c>
      <c r="B111" s="76">
        <v>117</v>
      </c>
      <c r="C111" t="s">
        <v>561</v>
      </c>
    </row>
    <row r="112" spans="1:3" ht="15" x14ac:dyDescent="0.2">
      <c r="A112" s="3" t="s">
        <v>115</v>
      </c>
      <c r="B112" s="76">
        <v>118</v>
      </c>
      <c r="C112" t="s">
        <v>562</v>
      </c>
    </row>
    <row r="113" spans="1:3" ht="15" x14ac:dyDescent="0.2">
      <c r="A113" s="3" t="s">
        <v>116</v>
      </c>
      <c r="B113" s="76">
        <v>119</v>
      </c>
      <c r="C113" t="s">
        <v>563</v>
      </c>
    </row>
    <row r="114" spans="1:3" ht="15" x14ac:dyDescent="0.2">
      <c r="A114" s="3" t="s">
        <v>117</v>
      </c>
      <c r="B114" s="76">
        <v>120</v>
      </c>
      <c r="C114" t="s">
        <v>564</v>
      </c>
    </row>
    <row r="115" spans="1:3" ht="15" x14ac:dyDescent="0.2">
      <c r="A115" s="3" t="s">
        <v>118</v>
      </c>
      <c r="B115" s="76">
        <v>121</v>
      </c>
      <c r="C115" t="s">
        <v>565</v>
      </c>
    </row>
    <row r="116" spans="1:3" ht="15" x14ac:dyDescent="0.2">
      <c r="A116" s="3" t="s">
        <v>119</v>
      </c>
      <c r="B116" s="76">
        <v>122</v>
      </c>
      <c r="C116" t="s">
        <v>566</v>
      </c>
    </row>
    <row r="117" spans="1:3" ht="15" x14ac:dyDescent="0.2">
      <c r="A117" s="3" t="s">
        <v>120</v>
      </c>
      <c r="B117" s="76">
        <v>123</v>
      </c>
      <c r="C117" t="s">
        <v>567</v>
      </c>
    </row>
    <row r="118" spans="1:3" ht="15" x14ac:dyDescent="0.2">
      <c r="A118" s="3" t="s">
        <v>121</v>
      </c>
      <c r="B118" s="76">
        <v>124</v>
      </c>
      <c r="C118" t="s">
        <v>568</v>
      </c>
    </row>
    <row r="119" spans="1:3" ht="15" x14ac:dyDescent="0.2">
      <c r="A119" s="3" t="s">
        <v>122</v>
      </c>
      <c r="B119" s="76">
        <v>126</v>
      </c>
      <c r="C119" t="s">
        <v>569</v>
      </c>
    </row>
    <row r="120" spans="1:3" ht="15" x14ac:dyDescent="0.2">
      <c r="A120" s="3" t="s">
        <v>123</v>
      </c>
      <c r="B120" s="76">
        <v>127</v>
      </c>
      <c r="C120" t="s">
        <v>570</v>
      </c>
    </row>
    <row r="121" spans="1:3" ht="15" x14ac:dyDescent="0.2">
      <c r="A121" s="3" t="s">
        <v>124</v>
      </c>
      <c r="B121" s="76">
        <v>128</v>
      </c>
      <c r="C121" t="s">
        <v>571</v>
      </c>
    </row>
    <row r="122" spans="1:3" ht="15" x14ac:dyDescent="0.2">
      <c r="A122" s="3" t="s">
        <v>125</v>
      </c>
      <c r="B122" s="76">
        <v>130</v>
      </c>
      <c r="C122" t="s">
        <v>572</v>
      </c>
    </row>
    <row r="123" spans="1:3" ht="15" x14ac:dyDescent="0.2">
      <c r="A123" s="3" t="s">
        <v>430</v>
      </c>
      <c r="B123" s="76">
        <v>131</v>
      </c>
      <c r="C123" t="s">
        <v>573</v>
      </c>
    </row>
    <row r="124" spans="1:3" ht="15" x14ac:dyDescent="0.2">
      <c r="A124" s="3" t="s">
        <v>126</v>
      </c>
      <c r="B124" s="76">
        <v>132</v>
      </c>
      <c r="C124" t="s">
        <v>574</v>
      </c>
    </row>
    <row r="125" spans="1:3" ht="15" x14ac:dyDescent="0.2">
      <c r="A125" s="3" t="s">
        <v>127</v>
      </c>
      <c r="B125" s="76">
        <v>135</v>
      </c>
      <c r="C125" t="s">
        <v>575</v>
      </c>
    </row>
    <row r="126" spans="1:3" ht="15" x14ac:dyDescent="0.2">
      <c r="A126" s="3" t="s">
        <v>128</v>
      </c>
      <c r="B126" s="76">
        <v>136</v>
      </c>
      <c r="C126" t="s">
        <v>576</v>
      </c>
    </row>
    <row r="127" spans="1:3" ht="15" x14ac:dyDescent="0.2">
      <c r="A127" s="3" t="s">
        <v>129</v>
      </c>
      <c r="B127" s="76">
        <v>137</v>
      </c>
      <c r="C127" t="s">
        <v>577</v>
      </c>
    </row>
    <row r="128" spans="1:3" ht="15" x14ac:dyDescent="0.2">
      <c r="A128" s="3" t="s">
        <v>130</v>
      </c>
      <c r="B128" s="76">
        <v>139</v>
      </c>
      <c r="C128" t="s">
        <v>578</v>
      </c>
    </row>
    <row r="129" spans="1:3" ht="15" x14ac:dyDescent="0.2">
      <c r="A129" s="3" t="s">
        <v>131</v>
      </c>
      <c r="B129" s="76">
        <v>142</v>
      </c>
      <c r="C129" t="s">
        <v>579</v>
      </c>
    </row>
    <row r="130" spans="1:3" ht="15" x14ac:dyDescent="0.2">
      <c r="A130" s="3" t="s">
        <v>132</v>
      </c>
      <c r="B130" s="76">
        <v>143</v>
      </c>
      <c r="C130" t="s">
        <v>580</v>
      </c>
    </row>
    <row r="131" spans="1:3" ht="15" x14ac:dyDescent="0.2">
      <c r="A131" s="3" t="s">
        <v>133</v>
      </c>
      <c r="B131" s="76">
        <v>144</v>
      </c>
      <c r="C131" t="s">
        <v>581</v>
      </c>
    </row>
    <row r="132" spans="1:3" ht="15" x14ac:dyDescent="0.2">
      <c r="A132" s="3" t="s">
        <v>134</v>
      </c>
      <c r="B132" s="76">
        <v>202</v>
      </c>
      <c r="C132" t="s">
        <v>582</v>
      </c>
    </row>
    <row r="133" spans="1:3" ht="15" x14ac:dyDescent="0.2">
      <c r="A133" s="3" t="s">
        <v>135</v>
      </c>
      <c r="B133" s="76">
        <v>207</v>
      </c>
      <c r="C133" t="s">
        <v>583</v>
      </c>
    </row>
  </sheetData>
  <sheetProtection password="EA99" sheet="1" objects="1" scenarios="1"/>
  <phoneticPr fontId="0" type="noConversion"/>
  <pageMargins left="0.75" right="0.75" top="1" bottom="1" header="0.5" footer="0.5"/>
  <pageSetup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594"/>
  <sheetViews>
    <sheetView zoomScale="80" zoomScaleNormal="80"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ColWidth="9.140625" defaultRowHeight="12.75" x14ac:dyDescent="0.2"/>
  <cols>
    <col min="1" max="1" width="4.85546875" style="57" bestFit="1" customWidth="1"/>
    <col min="2" max="2" width="21.85546875" style="57" bestFit="1" customWidth="1"/>
    <col min="3" max="3" width="15.42578125" style="51" bestFit="1" customWidth="1"/>
    <col min="4" max="5" width="16.5703125" style="51" bestFit="1" customWidth="1"/>
    <col min="6" max="6" width="16.140625" style="51" bestFit="1" customWidth="1"/>
    <col min="7" max="7" width="19.140625" style="51" bestFit="1" customWidth="1"/>
    <col min="8" max="8" width="18.42578125" style="51" customWidth="1"/>
    <col min="9" max="9" width="19.140625" style="51" bestFit="1" customWidth="1"/>
    <col min="10" max="10" width="12.7109375" style="51" bestFit="1" customWidth="1"/>
    <col min="11" max="11" width="12.28515625" style="51" bestFit="1" customWidth="1"/>
    <col min="12" max="12" width="16.5703125" style="51" bestFit="1" customWidth="1"/>
    <col min="13" max="13" width="19.140625" style="51" customWidth="1"/>
    <col min="14" max="14" width="19.140625" style="51" bestFit="1" customWidth="1"/>
    <col min="15" max="15" width="22.42578125" style="51" bestFit="1" customWidth="1"/>
    <col min="16" max="16" width="20" style="52" bestFit="1" customWidth="1"/>
    <col min="17" max="17" width="30.28515625" bestFit="1" customWidth="1"/>
    <col min="18" max="18" width="17.7109375" style="51" customWidth="1"/>
    <col min="19" max="20" width="19.42578125" bestFit="1" customWidth="1"/>
    <col min="21" max="21" width="80.28515625" bestFit="1" customWidth="1"/>
    <col min="22" max="24" width="14.7109375" style="51" customWidth="1"/>
    <col min="25" max="25" width="2.85546875" style="51" customWidth="1"/>
    <col min="26" max="26" width="5.42578125" style="51" bestFit="1" customWidth="1"/>
    <col min="27" max="27" width="19.7109375" style="51" bestFit="1" customWidth="1"/>
    <col min="28" max="28" width="14.85546875" style="51" bestFit="1" customWidth="1"/>
    <col min="29" max="29" width="2.7109375" style="51" customWidth="1"/>
    <col min="30" max="30" width="5.42578125" style="51" bestFit="1" customWidth="1"/>
    <col min="31" max="31" width="19.7109375" style="51" bestFit="1" customWidth="1"/>
    <col min="32" max="32" width="14.85546875" style="51" bestFit="1" customWidth="1"/>
    <col min="33" max="34" width="14.7109375" style="51" customWidth="1"/>
    <col min="35" max="35" width="32.140625" style="51" bestFit="1" customWidth="1"/>
    <col min="36" max="36" width="19.7109375" style="51" bestFit="1" customWidth="1"/>
    <col min="37" max="37" width="12.140625" style="51" bestFit="1" customWidth="1"/>
    <col min="38" max="38" width="15" style="51" bestFit="1" customWidth="1"/>
    <col min="39" max="39" width="25" style="51" bestFit="1" customWidth="1"/>
    <col min="40" max="41" width="14.7109375" style="51" customWidth="1"/>
    <col min="42" max="42" width="19.28515625" style="51" customWidth="1"/>
    <col min="43" max="50" width="14.7109375" style="51" customWidth="1"/>
    <col min="51" max="16384" width="9.140625" style="51"/>
  </cols>
  <sheetData>
    <row r="1" spans="1:45" s="47" customFormat="1" ht="13.5" thickBot="1" x14ac:dyDescent="0.25">
      <c r="A1" s="45" t="s">
        <v>431</v>
      </c>
      <c r="B1" s="46" t="s">
        <v>432</v>
      </c>
      <c r="C1" s="47" t="s">
        <v>433</v>
      </c>
      <c r="D1" s="47" t="s">
        <v>434</v>
      </c>
      <c r="E1" s="47" t="s">
        <v>435</v>
      </c>
      <c r="F1" s="47" t="s">
        <v>436</v>
      </c>
      <c r="G1" s="47" t="s">
        <v>437</v>
      </c>
      <c r="H1" s="47" t="s">
        <v>438</v>
      </c>
      <c r="I1" s="47" t="s">
        <v>439</v>
      </c>
      <c r="J1" s="47" t="s">
        <v>440</v>
      </c>
      <c r="K1" s="47" t="s">
        <v>441</v>
      </c>
      <c r="L1" s="47" t="s">
        <v>442</v>
      </c>
      <c r="M1" s="47" t="s">
        <v>443</v>
      </c>
      <c r="N1" s="47" t="s">
        <v>444</v>
      </c>
      <c r="O1" s="47" t="s">
        <v>445</v>
      </c>
      <c r="P1" s="48" t="s">
        <v>446</v>
      </c>
      <c r="Q1" s="59" t="s">
        <v>628</v>
      </c>
      <c r="S1" s="240" t="s">
        <v>642</v>
      </c>
      <c r="T1" s="240" t="s">
        <v>661</v>
      </c>
      <c r="U1" s="71" t="s">
        <v>664</v>
      </c>
      <c r="Z1" s="366" t="s">
        <v>641</v>
      </c>
      <c r="AA1" s="366"/>
      <c r="AB1" s="366"/>
      <c r="AD1" s="366" t="s">
        <v>662</v>
      </c>
      <c r="AE1" s="366"/>
      <c r="AF1" s="366"/>
      <c r="AI1" s="233" t="s">
        <v>617</v>
      </c>
      <c r="AJ1" s="182" t="s">
        <v>663</v>
      </c>
      <c r="AN1" s="231"/>
      <c r="AO1" s="231"/>
      <c r="AP1" s="231"/>
      <c r="AQ1" s="182"/>
      <c r="AR1" s="231"/>
      <c r="AS1" s="231"/>
    </row>
    <row r="2" spans="1:45" x14ac:dyDescent="0.2">
      <c r="A2" s="49">
        <v>1</v>
      </c>
      <c r="B2" s="227">
        <v>28827936.460000001</v>
      </c>
      <c r="C2" s="204">
        <v>4471437.3600000003</v>
      </c>
      <c r="D2" s="204">
        <v>0</v>
      </c>
      <c r="E2" s="204">
        <v>1540878.98</v>
      </c>
      <c r="F2" s="204">
        <v>0</v>
      </c>
      <c r="G2" s="228">
        <v>31758494.84</v>
      </c>
      <c r="H2" s="206">
        <v>5013846.8</v>
      </c>
      <c r="I2" s="204">
        <v>6074042.8499999996</v>
      </c>
      <c r="J2" s="204">
        <v>0</v>
      </c>
      <c r="K2" s="204">
        <v>0</v>
      </c>
      <c r="L2" s="204">
        <v>0</v>
      </c>
      <c r="M2" s="207">
        <v>6074042.8499999996</v>
      </c>
      <c r="N2" s="205">
        <v>18507408.219999999</v>
      </c>
      <c r="O2" s="204">
        <v>53493</v>
      </c>
      <c r="P2" s="206">
        <v>61353792.710000001</v>
      </c>
      <c r="Q2" s="244">
        <v>5180.32</v>
      </c>
      <c r="S2" s="86">
        <f>VLOOKUP(A2,$Z$3:$AB$138,3,FALSE)</f>
        <v>5154121.4549606992</v>
      </c>
      <c r="T2" s="60">
        <f t="shared" ref="T2:T10" si="0">VLOOKUP($A2,$AD$3:$AF$138,3,FALSE)</f>
        <v>5391666.4464559257</v>
      </c>
      <c r="U2" s="181"/>
      <c r="Z2" s="51" t="s">
        <v>603</v>
      </c>
      <c r="AA2" s="51" t="s">
        <v>283</v>
      </c>
      <c r="AB2" s="51" t="s">
        <v>604</v>
      </c>
      <c r="AD2" s="51" t="s">
        <v>603</v>
      </c>
      <c r="AE2" s="51" t="s">
        <v>283</v>
      </c>
      <c r="AF2" s="51" t="s">
        <v>604</v>
      </c>
      <c r="AI2" s="51" t="s">
        <v>603</v>
      </c>
      <c r="AJ2" s="51" t="s">
        <v>283</v>
      </c>
      <c r="AK2" s="51" t="s">
        <v>615</v>
      </c>
      <c r="AL2" s="51" t="s">
        <v>616</v>
      </c>
    </row>
    <row r="3" spans="1:45" x14ac:dyDescent="0.2">
      <c r="A3" s="49">
        <v>2</v>
      </c>
      <c r="B3" s="203">
        <v>35558511.990000002</v>
      </c>
      <c r="C3" s="204">
        <v>256285.38</v>
      </c>
      <c r="D3" s="204">
        <v>0</v>
      </c>
      <c r="E3" s="204">
        <v>895852</v>
      </c>
      <c r="F3" s="204">
        <v>1693352</v>
      </c>
      <c r="G3" s="205">
        <v>33225593.370000005</v>
      </c>
      <c r="H3" s="206">
        <v>15461830.98</v>
      </c>
      <c r="I3" s="204">
        <v>9267918.8500000015</v>
      </c>
      <c r="J3" s="204">
        <v>0</v>
      </c>
      <c r="K3" s="204">
        <v>20279.55</v>
      </c>
      <c r="L3" s="204">
        <v>0</v>
      </c>
      <c r="M3" s="207">
        <v>9247639.3000000007</v>
      </c>
      <c r="N3" s="205">
        <v>145381323.34999999</v>
      </c>
      <c r="O3" s="204">
        <v>0</v>
      </c>
      <c r="P3" s="206">
        <v>203316387</v>
      </c>
      <c r="Q3" s="245">
        <v>13884.390000000001</v>
      </c>
      <c r="S3" s="87">
        <f t="shared" ref="S3:S10" si="1">VLOOKUP(A3,$Z$3:$AB$138,3,FALSE)</f>
        <v>16804377.50270148</v>
      </c>
      <c r="T3" s="61">
        <f t="shared" si="0"/>
        <v>17652464.53863208</v>
      </c>
      <c r="Z3" s="49">
        <v>1</v>
      </c>
      <c r="AA3" s="51" t="s">
        <v>292</v>
      </c>
      <c r="AB3" s="95">
        <v>5154121.4549606992</v>
      </c>
      <c r="AC3" s="91"/>
      <c r="AD3" s="51">
        <v>1</v>
      </c>
      <c r="AE3" s="51" t="s">
        <v>292</v>
      </c>
      <c r="AF3" s="95">
        <v>5391666.4464559257</v>
      </c>
      <c r="AH3" s="95"/>
      <c r="AI3" s="232">
        <v>1</v>
      </c>
      <c r="AJ3" s="51" t="s">
        <v>292</v>
      </c>
      <c r="AK3" s="51">
        <v>53493</v>
      </c>
      <c r="AL3" s="51">
        <v>0</v>
      </c>
    </row>
    <row r="4" spans="1:45" x14ac:dyDescent="0.2">
      <c r="A4" s="49">
        <v>3</v>
      </c>
      <c r="B4" s="203">
        <v>12652679.209566584</v>
      </c>
      <c r="C4" s="204">
        <v>0</v>
      </c>
      <c r="D4" s="204">
        <v>0</v>
      </c>
      <c r="E4" s="204">
        <v>145000</v>
      </c>
      <c r="F4" s="204">
        <v>90753</v>
      </c>
      <c r="G4" s="205">
        <v>12416926.209566584</v>
      </c>
      <c r="H4" s="206">
        <v>2354897.7599999998</v>
      </c>
      <c r="I4" s="204">
        <v>2005980.5499999998</v>
      </c>
      <c r="J4" s="204">
        <v>0</v>
      </c>
      <c r="K4" s="204">
        <v>0</v>
      </c>
      <c r="L4" s="204">
        <v>0</v>
      </c>
      <c r="M4" s="207">
        <v>2005980.5499999998</v>
      </c>
      <c r="N4" s="205">
        <v>8876464.0800000019</v>
      </c>
      <c r="O4" s="204">
        <v>0</v>
      </c>
      <c r="P4" s="206">
        <v>25654268.599566586</v>
      </c>
      <c r="Q4" s="245">
        <v>2146.3599999999997</v>
      </c>
      <c r="S4" s="87">
        <f t="shared" si="1"/>
        <v>2451218.9061175142</v>
      </c>
      <c r="T4" s="61">
        <f t="shared" si="0"/>
        <v>2547710.5186549975</v>
      </c>
      <c r="Z4" s="49">
        <v>2</v>
      </c>
      <c r="AA4" s="51" t="s">
        <v>293</v>
      </c>
      <c r="AB4" s="95">
        <v>16804377.50270148</v>
      </c>
      <c r="AC4" s="91"/>
      <c r="AD4" s="51">
        <v>2</v>
      </c>
      <c r="AE4" s="51" t="s">
        <v>293</v>
      </c>
      <c r="AF4" s="95">
        <v>17652464.53863208</v>
      </c>
      <c r="AH4" s="95"/>
      <c r="AI4" s="232">
        <v>2</v>
      </c>
      <c r="AJ4" s="51" t="s">
        <v>293</v>
      </c>
      <c r="AK4" s="51">
        <v>0</v>
      </c>
      <c r="AL4" s="241">
        <v>0</v>
      </c>
    </row>
    <row r="5" spans="1:45" x14ac:dyDescent="0.2">
      <c r="A5" s="49">
        <v>4</v>
      </c>
      <c r="B5" s="203">
        <v>9247978.4029160887</v>
      </c>
      <c r="C5" s="204">
        <v>0</v>
      </c>
      <c r="D5" s="204">
        <v>0</v>
      </c>
      <c r="E5" s="204">
        <v>0</v>
      </c>
      <c r="F5" s="204">
        <v>0</v>
      </c>
      <c r="G5" s="205">
        <v>9247978.4029160887</v>
      </c>
      <c r="H5" s="206">
        <v>1973579.9</v>
      </c>
      <c r="I5" s="204">
        <v>1444937.9199999997</v>
      </c>
      <c r="J5" s="204">
        <v>0</v>
      </c>
      <c r="K5" s="204">
        <v>0</v>
      </c>
      <c r="L5" s="204">
        <v>0</v>
      </c>
      <c r="M5" s="207">
        <v>1444937.9199999997</v>
      </c>
      <c r="N5" s="205">
        <v>5367499.6099999994</v>
      </c>
      <c r="O5" s="204">
        <v>54666</v>
      </c>
      <c r="P5" s="206">
        <v>18033995.832916088</v>
      </c>
      <c r="Q5" s="245">
        <v>1788.95</v>
      </c>
      <c r="S5" s="87">
        <f t="shared" si="1"/>
        <v>2086277.6241652921</v>
      </c>
      <c r="T5" s="61">
        <f t="shared" si="0"/>
        <v>2164002.1791897933</v>
      </c>
      <c r="Z5" s="49">
        <v>3</v>
      </c>
      <c r="AA5" s="51" t="s">
        <v>294</v>
      </c>
      <c r="AB5" s="95">
        <v>2451218.9061175142</v>
      </c>
      <c r="AC5" s="91"/>
      <c r="AD5" s="51">
        <v>3</v>
      </c>
      <c r="AE5" s="51" t="s">
        <v>294</v>
      </c>
      <c r="AF5" s="95">
        <v>2547710.5186549975</v>
      </c>
      <c r="AH5" s="95"/>
      <c r="AI5" s="232">
        <v>3</v>
      </c>
      <c r="AJ5" s="51" t="s">
        <v>294</v>
      </c>
      <c r="AK5" s="51">
        <v>16962</v>
      </c>
      <c r="AL5" s="241">
        <v>50037.24956658607</v>
      </c>
      <c r="AQ5" s="230"/>
    </row>
    <row r="6" spans="1:45" x14ac:dyDescent="0.2">
      <c r="A6" s="49">
        <v>5</v>
      </c>
      <c r="B6" s="203">
        <v>21771006.695671823</v>
      </c>
      <c r="C6" s="204">
        <v>0</v>
      </c>
      <c r="D6" s="204">
        <v>0</v>
      </c>
      <c r="E6" s="204">
        <v>12785.15</v>
      </c>
      <c r="F6" s="204">
        <v>0</v>
      </c>
      <c r="G6" s="205">
        <v>21758221.545671824</v>
      </c>
      <c r="H6" s="206">
        <v>4677503.08</v>
      </c>
      <c r="I6" s="204">
        <v>3953304.39</v>
      </c>
      <c r="J6" s="204">
        <v>0</v>
      </c>
      <c r="K6" s="204">
        <v>0</v>
      </c>
      <c r="L6" s="204">
        <v>71921.179999999993</v>
      </c>
      <c r="M6" s="207">
        <v>3881383.21</v>
      </c>
      <c r="N6" s="205">
        <v>15455118.280000001</v>
      </c>
      <c r="O6" s="204">
        <v>536532.72</v>
      </c>
      <c r="P6" s="206">
        <v>45772226.115671828</v>
      </c>
      <c r="Q6" s="245">
        <v>4026.22</v>
      </c>
      <c r="S6" s="87">
        <f t="shared" si="1"/>
        <v>4978841.7752053216</v>
      </c>
      <c r="T6" s="61">
        <f t="shared" si="0"/>
        <v>5173479.3514659069</v>
      </c>
      <c r="Z6" s="49">
        <v>4</v>
      </c>
      <c r="AA6" s="51" t="s">
        <v>295</v>
      </c>
      <c r="AB6" s="95">
        <v>2086277.6241652921</v>
      </c>
      <c r="AC6" s="91"/>
      <c r="AD6" s="51">
        <v>4</v>
      </c>
      <c r="AE6" s="51" t="s">
        <v>295</v>
      </c>
      <c r="AF6" s="95">
        <v>2164002.1791897933</v>
      </c>
      <c r="AH6" s="95"/>
      <c r="AI6" s="232">
        <v>4</v>
      </c>
      <c r="AJ6" s="51" t="s">
        <v>295</v>
      </c>
      <c r="AK6" s="51">
        <v>55349</v>
      </c>
      <c r="AL6" s="241">
        <v>75715.672916089417</v>
      </c>
    </row>
    <row r="7" spans="1:45" x14ac:dyDescent="0.2">
      <c r="A7" s="49">
        <v>6</v>
      </c>
      <c r="B7" s="203">
        <v>12369337.507809762</v>
      </c>
      <c r="C7" s="204">
        <v>0</v>
      </c>
      <c r="D7" s="204">
        <v>0</v>
      </c>
      <c r="E7" s="204">
        <v>0</v>
      </c>
      <c r="F7" s="204">
        <v>0</v>
      </c>
      <c r="G7" s="205">
        <v>12369337.507809762</v>
      </c>
      <c r="H7" s="206">
        <v>2355418.7999999998</v>
      </c>
      <c r="I7" s="204">
        <v>1952580.3599999999</v>
      </c>
      <c r="J7" s="204">
        <v>0</v>
      </c>
      <c r="K7" s="204">
        <v>0</v>
      </c>
      <c r="L7" s="204">
        <v>0</v>
      </c>
      <c r="M7" s="207">
        <v>1952580.3599999999</v>
      </c>
      <c r="N7" s="205">
        <v>6102738.2399999984</v>
      </c>
      <c r="O7" s="204">
        <v>22755.64</v>
      </c>
      <c r="P7" s="206">
        <v>22780074.90780976</v>
      </c>
      <c r="Q7" s="245">
        <v>2250.5500000000002</v>
      </c>
      <c r="S7" s="87">
        <f t="shared" si="1"/>
        <v>2568072.0259544333</v>
      </c>
      <c r="T7" s="61">
        <f t="shared" si="0"/>
        <v>2722636.379293547</v>
      </c>
      <c r="Z7" s="49">
        <v>5</v>
      </c>
      <c r="AA7" s="51" t="s">
        <v>296</v>
      </c>
      <c r="AB7" s="95">
        <v>4978841.7752053216</v>
      </c>
      <c r="AC7" s="91"/>
      <c r="AD7" s="51">
        <v>5</v>
      </c>
      <c r="AE7" s="51" t="s">
        <v>296</v>
      </c>
      <c r="AF7" s="95">
        <v>5173479.3514659069</v>
      </c>
      <c r="AH7" s="95"/>
      <c r="AI7" s="232">
        <v>5</v>
      </c>
      <c r="AJ7" s="51" t="s">
        <v>296</v>
      </c>
      <c r="AK7" s="51">
        <v>40757</v>
      </c>
      <c r="AL7" s="241">
        <v>41749.105671829064</v>
      </c>
    </row>
    <row r="8" spans="1:45" x14ac:dyDescent="0.2">
      <c r="A8" s="49">
        <v>7</v>
      </c>
      <c r="B8" s="203">
        <v>45221479.755458772</v>
      </c>
      <c r="C8" s="204">
        <v>0</v>
      </c>
      <c r="D8" s="204">
        <v>0</v>
      </c>
      <c r="E8" s="204">
        <v>0</v>
      </c>
      <c r="F8" s="204">
        <v>0</v>
      </c>
      <c r="G8" s="205">
        <v>45221479.755458772</v>
      </c>
      <c r="H8" s="206">
        <v>26524284.52</v>
      </c>
      <c r="I8" s="204">
        <v>16406619.59</v>
      </c>
      <c r="J8" s="204">
        <v>0</v>
      </c>
      <c r="K8" s="204">
        <v>0</v>
      </c>
      <c r="L8" s="204">
        <v>0</v>
      </c>
      <c r="M8" s="207">
        <v>16406619.59</v>
      </c>
      <c r="N8" s="205">
        <v>464020271.31999999</v>
      </c>
      <c r="O8" s="204">
        <v>371200.8</v>
      </c>
      <c r="P8" s="206">
        <v>552172655.18545878</v>
      </c>
      <c r="Q8" s="245">
        <v>26988.170000000002</v>
      </c>
      <c r="S8" s="87">
        <f t="shared" si="1"/>
        <v>28303623.364806857</v>
      </c>
      <c r="T8" s="61">
        <f t="shared" si="0"/>
        <v>30377850.669278361</v>
      </c>
      <c r="Z8" s="49">
        <v>6</v>
      </c>
      <c r="AA8" s="51" t="s">
        <v>297</v>
      </c>
      <c r="AB8" s="95">
        <v>2568072.0259544333</v>
      </c>
      <c r="AC8" s="91"/>
      <c r="AD8" s="51">
        <v>6</v>
      </c>
      <c r="AE8" s="51" t="s">
        <v>297</v>
      </c>
      <c r="AF8" s="95">
        <v>2722636.379293547</v>
      </c>
      <c r="AH8" s="95"/>
      <c r="AI8" s="232">
        <v>6</v>
      </c>
      <c r="AJ8" s="51" t="s">
        <v>297</v>
      </c>
      <c r="AK8" s="51">
        <v>31253</v>
      </c>
      <c r="AL8" s="241">
        <v>24603.167809762326</v>
      </c>
    </row>
    <row r="9" spans="1:45" x14ac:dyDescent="0.2">
      <c r="A9" s="49">
        <v>8</v>
      </c>
      <c r="B9" s="203">
        <v>47183112.832092136</v>
      </c>
      <c r="C9" s="204">
        <v>0</v>
      </c>
      <c r="D9" s="204">
        <v>0</v>
      </c>
      <c r="E9" s="204">
        <v>0</v>
      </c>
      <c r="F9" s="204">
        <v>607206</v>
      </c>
      <c r="G9" s="205">
        <v>46575906.832092136</v>
      </c>
      <c r="H9" s="206">
        <v>10924220.4</v>
      </c>
      <c r="I9" s="204">
        <v>9939670.7800000012</v>
      </c>
      <c r="J9" s="204">
        <v>0</v>
      </c>
      <c r="K9" s="204">
        <v>0</v>
      </c>
      <c r="L9" s="204">
        <v>0</v>
      </c>
      <c r="M9" s="207">
        <v>9939670.7800000012</v>
      </c>
      <c r="N9" s="205">
        <v>44181821.779999986</v>
      </c>
      <c r="O9" s="204">
        <v>184206.83</v>
      </c>
      <c r="P9" s="206">
        <v>111621619.79209213</v>
      </c>
      <c r="Q9" s="245">
        <v>10157.599999999999</v>
      </c>
      <c r="S9" s="87">
        <f t="shared" si="1"/>
        <v>11644862.826825228</v>
      </c>
      <c r="T9" s="61">
        <f t="shared" si="0"/>
        <v>12012516.225463375</v>
      </c>
      <c r="Z9" s="49">
        <v>7</v>
      </c>
      <c r="AA9" s="51" t="s">
        <v>298</v>
      </c>
      <c r="AB9" s="95">
        <v>28303623.364806857</v>
      </c>
      <c r="AC9" s="91"/>
      <c r="AD9" s="51">
        <v>7</v>
      </c>
      <c r="AE9" s="51" t="s">
        <v>298</v>
      </c>
      <c r="AF9" s="95">
        <v>30377850.669278361</v>
      </c>
      <c r="AH9" s="95"/>
      <c r="AI9" s="232">
        <v>7</v>
      </c>
      <c r="AJ9" s="51" t="s">
        <v>298</v>
      </c>
      <c r="AK9" s="51">
        <v>0</v>
      </c>
      <c r="AL9" s="241">
        <v>78058.815458762459</v>
      </c>
    </row>
    <row r="10" spans="1:45" x14ac:dyDescent="0.2">
      <c r="A10" s="49">
        <v>9</v>
      </c>
      <c r="B10" s="203">
        <v>1167013.8889041473</v>
      </c>
      <c r="C10" s="204">
        <v>0</v>
      </c>
      <c r="D10" s="204">
        <v>0</v>
      </c>
      <c r="E10" s="204">
        <v>0</v>
      </c>
      <c r="F10" s="204">
        <v>0</v>
      </c>
      <c r="G10" s="205">
        <v>1167013.8889041473</v>
      </c>
      <c r="H10" s="206">
        <v>595952.62</v>
      </c>
      <c r="I10" s="204">
        <v>889800.27</v>
      </c>
      <c r="J10" s="204">
        <v>0</v>
      </c>
      <c r="K10" s="204">
        <v>0</v>
      </c>
      <c r="L10" s="204">
        <v>0</v>
      </c>
      <c r="M10" s="207">
        <v>889800.27</v>
      </c>
      <c r="N10" s="205">
        <v>8230389.629999999</v>
      </c>
      <c r="O10" s="204">
        <v>0</v>
      </c>
      <c r="P10" s="206">
        <v>10883156.408904146</v>
      </c>
      <c r="Q10" s="245">
        <v>552.33999999999992</v>
      </c>
      <c r="S10" s="87">
        <f t="shared" si="1"/>
        <v>582467.85887940938</v>
      </c>
      <c r="T10" s="61">
        <f t="shared" si="0"/>
        <v>584026.66374483332</v>
      </c>
      <c r="Z10" s="49">
        <v>8</v>
      </c>
      <c r="AA10" s="51" t="s">
        <v>299</v>
      </c>
      <c r="AB10" s="95">
        <v>11644862.826825228</v>
      </c>
      <c r="AC10" s="91"/>
      <c r="AD10" s="51">
        <v>8</v>
      </c>
      <c r="AE10" s="51" t="s">
        <v>299</v>
      </c>
      <c r="AF10" s="95">
        <v>12012516.225463375</v>
      </c>
      <c r="AH10" s="95"/>
      <c r="AI10" s="232">
        <v>8</v>
      </c>
      <c r="AJ10" s="51" t="s">
        <v>299</v>
      </c>
      <c r="AK10" s="51">
        <v>167003</v>
      </c>
      <c r="AL10" s="241">
        <v>391937.46209213289</v>
      </c>
      <c r="AQ10" s="230"/>
    </row>
    <row r="11" spans="1:45" x14ac:dyDescent="0.2">
      <c r="A11" s="49">
        <v>10</v>
      </c>
      <c r="B11" s="208">
        <v>45043315.354095295</v>
      </c>
      <c r="C11" s="208">
        <v>0</v>
      </c>
      <c r="D11" s="208">
        <v>0</v>
      </c>
      <c r="E11" s="208">
        <v>0</v>
      </c>
      <c r="F11" s="208">
        <v>0</v>
      </c>
      <c r="G11" s="211">
        <v>45043315.354095295</v>
      </c>
      <c r="H11" s="212">
        <v>12010028.02</v>
      </c>
      <c r="I11" s="209">
        <v>7584018.6499999994</v>
      </c>
      <c r="J11" s="210">
        <v>0</v>
      </c>
      <c r="K11" s="210">
        <v>0</v>
      </c>
      <c r="L11" s="210">
        <v>0</v>
      </c>
      <c r="M11" s="209">
        <v>7584018.6499999994</v>
      </c>
      <c r="N11" s="211">
        <v>38699799.370000012</v>
      </c>
      <c r="O11" s="212">
        <v>361186.43</v>
      </c>
      <c r="P11" s="212">
        <v>103337161.3940953</v>
      </c>
      <c r="Q11" s="245">
        <v>9638.2400000000016</v>
      </c>
      <c r="R11" s="61"/>
      <c r="S11" s="87">
        <f>VLOOKUP(A11,$Z$3:$AB$138,3,FALSE)+VLOOKUP(140,$Z$3:$AB$138,3,FALSE)</f>
        <v>12785529.050464071</v>
      </c>
      <c r="T11" s="61">
        <f>VLOOKUP($A11,$AD$3:$AF$138,3,FALSE)+VLOOKUP(140,$AD$3:$AF$138,3,FALSE)</f>
        <v>13283079.869133696</v>
      </c>
      <c r="Z11" s="49">
        <v>9</v>
      </c>
      <c r="AA11" s="51" t="s">
        <v>300</v>
      </c>
      <c r="AB11" s="95">
        <v>582467.85887940938</v>
      </c>
      <c r="AC11" s="91"/>
      <c r="AD11" s="51">
        <v>9</v>
      </c>
      <c r="AE11" s="51" t="s">
        <v>300</v>
      </c>
      <c r="AF11" s="95">
        <v>584026.66374483332</v>
      </c>
      <c r="AH11" s="95"/>
      <c r="AI11" s="232">
        <v>9</v>
      </c>
      <c r="AJ11" s="51" t="s">
        <v>300</v>
      </c>
      <c r="AK11" s="51">
        <v>3578</v>
      </c>
      <c r="AL11" s="241">
        <v>2031.8289041470871</v>
      </c>
    </row>
    <row r="12" spans="1:45" x14ac:dyDescent="0.2">
      <c r="A12" s="49">
        <v>11</v>
      </c>
      <c r="B12" s="203">
        <v>3973783.3783308426</v>
      </c>
      <c r="C12" s="204">
        <v>1238569.67</v>
      </c>
      <c r="D12" s="204">
        <v>1070834.04</v>
      </c>
      <c r="E12" s="204">
        <v>0</v>
      </c>
      <c r="F12" s="204">
        <v>0</v>
      </c>
      <c r="G12" s="205">
        <v>4141519.0083308425</v>
      </c>
      <c r="H12" s="206">
        <v>860403.56</v>
      </c>
      <c r="I12" s="204">
        <v>683421.74000000011</v>
      </c>
      <c r="J12" s="204">
        <v>0</v>
      </c>
      <c r="K12" s="204">
        <v>0</v>
      </c>
      <c r="L12" s="204">
        <v>6948.18</v>
      </c>
      <c r="M12" s="207">
        <v>676473.56</v>
      </c>
      <c r="N12" s="205">
        <v>2608749.5599999987</v>
      </c>
      <c r="O12" s="206">
        <v>6684.66</v>
      </c>
      <c r="P12" s="206">
        <v>8287145.6883308422</v>
      </c>
      <c r="Q12" s="245">
        <v>729.22</v>
      </c>
      <c r="S12" s="87">
        <f>VLOOKUP(A12,$Z$3:$AB$138,3,FALSE)</f>
        <v>863814.21664060559</v>
      </c>
      <c r="T12" s="61">
        <f t="shared" ref="T12:T29" si="2">VLOOKUP($A12,$AD$3:$AF$138,3,FALSE)</f>
        <v>871807.91834373667</v>
      </c>
      <c r="Z12" s="49">
        <v>10</v>
      </c>
      <c r="AA12" s="51" t="s">
        <v>301</v>
      </c>
      <c r="AB12" s="95">
        <v>12785529.050464071</v>
      </c>
      <c r="AC12" s="91"/>
      <c r="AD12" s="51">
        <v>10</v>
      </c>
      <c r="AE12" s="51" t="s">
        <v>301</v>
      </c>
      <c r="AF12" s="95">
        <v>13283079.869133696</v>
      </c>
      <c r="AH12" s="95"/>
      <c r="AI12" s="232">
        <v>10</v>
      </c>
      <c r="AJ12" s="97" t="s">
        <v>301</v>
      </c>
      <c r="AK12" s="229">
        <v>62628</v>
      </c>
      <c r="AL12" s="242">
        <v>150431.81409530083</v>
      </c>
      <c r="AM12" s="51" t="s">
        <v>620</v>
      </c>
    </row>
    <row r="13" spans="1:45" x14ac:dyDescent="0.2">
      <c r="A13" s="49">
        <v>12</v>
      </c>
      <c r="B13" s="203">
        <v>20070318.333223797</v>
      </c>
      <c r="C13" s="204">
        <v>0</v>
      </c>
      <c r="D13" s="204">
        <v>0</v>
      </c>
      <c r="E13" s="204">
        <v>166820</v>
      </c>
      <c r="F13" s="204">
        <v>27133.93</v>
      </c>
      <c r="G13" s="205">
        <v>19876364.403223798</v>
      </c>
      <c r="H13" s="206">
        <v>5609880.4400000004</v>
      </c>
      <c r="I13" s="204">
        <v>2576319.9299999997</v>
      </c>
      <c r="J13" s="204">
        <v>0</v>
      </c>
      <c r="K13" s="204">
        <v>0</v>
      </c>
      <c r="L13" s="204">
        <v>0</v>
      </c>
      <c r="M13" s="207">
        <v>2576319.9299999997</v>
      </c>
      <c r="N13" s="205">
        <v>25353558.27</v>
      </c>
      <c r="O13" s="204">
        <v>-22769.200000000001</v>
      </c>
      <c r="P13" s="206">
        <v>53416123.043223798</v>
      </c>
      <c r="Q13" s="245">
        <v>4636.2500000000009</v>
      </c>
      <c r="S13" s="87">
        <f t="shared" ref="S13:S29" si="3">VLOOKUP(A13,$Z$3:$AB$138,3,FALSE)</f>
        <v>5528950.308591431</v>
      </c>
      <c r="T13" s="61">
        <f t="shared" si="2"/>
        <v>5566592.3070944743</v>
      </c>
      <c r="Z13" s="49">
        <v>11</v>
      </c>
      <c r="AA13" s="51" t="s">
        <v>302</v>
      </c>
      <c r="AB13" s="95">
        <v>863814.21664060559</v>
      </c>
      <c r="AC13" s="91"/>
      <c r="AD13" s="51">
        <v>11</v>
      </c>
      <c r="AE13" s="51" t="s">
        <v>302</v>
      </c>
      <c r="AF13" s="95">
        <v>871807.91834373667</v>
      </c>
      <c r="AH13" s="95"/>
      <c r="AI13" s="232">
        <v>11</v>
      </c>
      <c r="AJ13" s="51" t="s">
        <v>302</v>
      </c>
      <c r="AK13" s="51">
        <v>25060</v>
      </c>
      <c r="AL13" s="241">
        <v>31683.328330842785</v>
      </c>
    </row>
    <row r="14" spans="1:45" x14ac:dyDescent="0.2">
      <c r="A14" s="49">
        <v>13</v>
      </c>
      <c r="B14" s="203">
        <v>11245470.133852024</v>
      </c>
      <c r="C14" s="204">
        <v>0</v>
      </c>
      <c r="D14" s="204">
        <v>0</v>
      </c>
      <c r="E14" s="204">
        <v>0</v>
      </c>
      <c r="F14" s="204">
        <v>0</v>
      </c>
      <c r="G14" s="205">
        <v>11245470.133852024</v>
      </c>
      <c r="H14" s="206">
        <v>2160480.62</v>
      </c>
      <c r="I14" s="204">
        <v>3281354.9499999997</v>
      </c>
      <c r="J14" s="204">
        <v>0</v>
      </c>
      <c r="K14" s="204">
        <v>0</v>
      </c>
      <c r="L14" s="204">
        <v>0</v>
      </c>
      <c r="M14" s="207">
        <v>3281354.9499999997</v>
      </c>
      <c r="N14" s="205">
        <v>5620494.8199999966</v>
      </c>
      <c r="O14" s="204">
        <v>0</v>
      </c>
      <c r="P14" s="206">
        <v>22307800.523852021</v>
      </c>
      <c r="Q14" s="245">
        <v>1611.15</v>
      </c>
      <c r="S14" s="87">
        <f t="shared" si="3"/>
        <v>2224703.627664411</v>
      </c>
      <c r="T14" s="61">
        <f t="shared" si="2"/>
        <v>2350213.5792243774</v>
      </c>
      <c r="Z14" s="49">
        <v>12</v>
      </c>
      <c r="AA14" s="51" t="s">
        <v>303</v>
      </c>
      <c r="AB14" s="95">
        <v>5528950.308591431</v>
      </c>
      <c r="AC14" s="91"/>
      <c r="AD14" s="51">
        <v>12</v>
      </c>
      <c r="AE14" s="51" t="s">
        <v>303</v>
      </c>
      <c r="AF14" s="95">
        <v>5566592.3070944743</v>
      </c>
      <c r="AH14" s="95"/>
      <c r="AI14" s="232">
        <v>12</v>
      </c>
      <c r="AJ14" s="51" t="s">
        <v>303</v>
      </c>
      <c r="AK14" s="51">
        <v>14092</v>
      </c>
      <c r="AL14" s="241">
        <v>51159.863223797387</v>
      </c>
    </row>
    <row r="15" spans="1:45" x14ac:dyDescent="0.2">
      <c r="A15" s="49">
        <v>14</v>
      </c>
      <c r="B15" s="203">
        <v>16456086.716666821</v>
      </c>
      <c r="C15" s="204">
        <v>0</v>
      </c>
      <c r="D15" s="204">
        <v>0</v>
      </c>
      <c r="E15" s="204">
        <v>0</v>
      </c>
      <c r="F15" s="204">
        <v>0</v>
      </c>
      <c r="G15" s="205">
        <v>16456086.716666821</v>
      </c>
      <c r="H15" s="206">
        <v>3186177.48</v>
      </c>
      <c r="I15" s="204">
        <v>4220964.0600000005</v>
      </c>
      <c r="J15" s="204">
        <v>0</v>
      </c>
      <c r="K15" s="204">
        <v>0</v>
      </c>
      <c r="L15" s="204">
        <v>0</v>
      </c>
      <c r="M15" s="207">
        <v>4220964.0600000005</v>
      </c>
      <c r="N15" s="205">
        <v>8395373.1899999939</v>
      </c>
      <c r="O15" s="204">
        <v>0</v>
      </c>
      <c r="P15" s="206">
        <v>32258601.446666818</v>
      </c>
      <c r="Q15" s="245">
        <v>2824.6099999999997</v>
      </c>
      <c r="S15" s="87">
        <f t="shared" si="3"/>
        <v>3225146.1074989522</v>
      </c>
      <c r="T15" s="61">
        <f t="shared" si="2"/>
        <v>3288794.2723279907</v>
      </c>
      <c r="Z15" s="49">
        <v>13</v>
      </c>
      <c r="AA15" s="51" t="s">
        <v>304</v>
      </c>
      <c r="AB15" s="95">
        <v>2224703.627664411</v>
      </c>
      <c r="AC15" s="91"/>
      <c r="AD15" s="51">
        <v>13</v>
      </c>
      <c r="AE15" s="51" t="s">
        <v>304</v>
      </c>
      <c r="AF15" s="95">
        <v>2350213.5792243774</v>
      </c>
      <c r="AH15" s="95"/>
      <c r="AI15" s="232">
        <v>13</v>
      </c>
      <c r="AJ15" s="51" t="s">
        <v>304</v>
      </c>
      <c r="AK15" s="51">
        <v>111453</v>
      </c>
      <c r="AL15" s="241">
        <v>48251.733852021251</v>
      </c>
      <c r="AQ15" s="230"/>
    </row>
    <row r="16" spans="1:45" x14ac:dyDescent="0.2">
      <c r="A16" s="49">
        <v>15</v>
      </c>
      <c r="B16" s="203">
        <v>11557678.276050601</v>
      </c>
      <c r="C16" s="204">
        <v>0</v>
      </c>
      <c r="D16" s="204">
        <v>0</v>
      </c>
      <c r="E16" s="204">
        <v>65608.740000000005</v>
      </c>
      <c r="F16" s="204">
        <v>0</v>
      </c>
      <c r="G16" s="205">
        <v>11492069.536050601</v>
      </c>
      <c r="H16" s="206">
        <v>2199679.7200000002</v>
      </c>
      <c r="I16" s="204">
        <v>2938482.22</v>
      </c>
      <c r="J16" s="204">
        <v>0</v>
      </c>
      <c r="K16" s="204">
        <v>0</v>
      </c>
      <c r="L16" s="204">
        <v>7002.84</v>
      </c>
      <c r="M16" s="207">
        <v>2931479.3800000004</v>
      </c>
      <c r="N16" s="205">
        <v>6784002.4500000011</v>
      </c>
      <c r="O16" s="204">
        <v>0</v>
      </c>
      <c r="P16" s="206">
        <v>23407231.086050604</v>
      </c>
      <c r="Q16" s="245">
        <v>2064.79</v>
      </c>
      <c r="S16" s="87">
        <f t="shared" si="3"/>
        <v>2454814.3867278812</v>
      </c>
      <c r="T16" s="61">
        <f t="shared" si="2"/>
        <v>2519496.6701649092</v>
      </c>
      <c r="Z16" s="49">
        <v>14</v>
      </c>
      <c r="AA16" s="51" t="s">
        <v>305</v>
      </c>
      <c r="AB16" s="95">
        <v>3225146.1074989522</v>
      </c>
      <c r="AC16" s="91"/>
      <c r="AD16" s="51">
        <v>14</v>
      </c>
      <c r="AE16" s="51" t="s">
        <v>305</v>
      </c>
      <c r="AF16" s="95">
        <v>3288794.2723279907</v>
      </c>
      <c r="AH16" s="95"/>
      <c r="AI16" s="232">
        <v>14</v>
      </c>
      <c r="AJ16" s="51" t="s">
        <v>305</v>
      </c>
      <c r="AK16" s="51">
        <v>15109</v>
      </c>
      <c r="AL16" s="241">
        <v>114840.01666681946</v>
      </c>
    </row>
    <row r="17" spans="1:43" x14ac:dyDescent="0.2">
      <c r="A17" s="49">
        <v>16</v>
      </c>
      <c r="B17" s="203">
        <v>39745649.774830617</v>
      </c>
      <c r="C17" s="204">
        <v>0</v>
      </c>
      <c r="D17" s="204">
        <v>0</v>
      </c>
      <c r="E17" s="204">
        <v>1725012.87</v>
      </c>
      <c r="F17" s="204">
        <v>0</v>
      </c>
      <c r="G17" s="205">
        <v>38020636.90483062</v>
      </c>
      <c r="H17" s="206">
        <v>8302517.8799999999</v>
      </c>
      <c r="I17" s="204">
        <v>5893724.0799999991</v>
      </c>
      <c r="J17" s="204">
        <v>0</v>
      </c>
      <c r="K17" s="204">
        <v>0</v>
      </c>
      <c r="L17" s="204">
        <v>0</v>
      </c>
      <c r="M17" s="207">
        <v>5893724.0799999991</v>
      </c>
      <c r="N17" s="205">
        <v>27889723.460000001</v>
      </c>
      <c r="O17" s="204">
        <v>10790.23</v>
      </c>
      <c r="P17" s="206">
        <v>80106602.324830621</v>
      </c>
      <c r="Q17" s="245">
        <v>7872.079999999999</v>
      </c>
      <c r="S17" s="87">
        <f t="shared" si="3"/>
        <v>9046229.2156826779</v>
      </c>
      <c r="T17" s="61">
        <f t="shared" si="2"/>
        <v>9154453.3734174035</v>
      </c>
      <c r="Z17" s="49">
        <v>15</v>
      </c>
      <c r="AA17" s="51" t="s">
        <v>306</v>
      </c>
      <c r="AB17" s="95">
        <v>2454814.3867278812</v>
      </c>
      <c r="AC17" s="91"/>
      <c r="AD17" s="51">
        <v>15</v>
      </c>
      <c r="AE17" s="51" t="s">
        <v>306</v>
      </c>
      <c r="AF17" s="95">
        <v>2519496.6701649092</v>
      </c>
      <c r="AH17" s="95"/>
      <c r="AI17" s="232">
        <v>15</v>
      </c>
      <c r="AJ17" s="51" t="s">
        <v>306</v>
      </c>
      <c r="AK17" s="51">
        <v>50876</v>
      </c>
      <c r="AL17" s="241">
        <v>50145.386050603302</v>
      </c>
    </row>
    <row r="18" spans="1:43" x14ac:dyDescent="0.2">
      <c r="A18" s="49">
        <v>17</v>
      </c>
      <c r="B18" s="203">
        <v>20914483.09624869</v>
      </c>
      <c r="C18" s="204">
        <v>0</v>
      </c>
      <c r="D18" s="204">
        <v>478384.4</v>
      </c>
      <c r="E18" s="204">
        <v>0</v>
      </c>
      <c r="F18" s="204">
        <v>0</v>
      </c>
      <c r="G18" s="205">
        <v>20436098.696248692</v>
      </c>
      <c r="H18" s="206">
        <v>4767006.9800000004</v>
      </c>
      <c r="I18" s="204">
        <v>3576767.4600000004</v>
      </c>
      <c r="J18" s="204">
        <v>0</v>
      </c>
      <c r="K18" s="204">
        <v>0</v>
      </c>
      <c r="L18" s="204">
        <v>0</v>
      </c>
      <c r="M18" s="207">
        <v>3576767.4600000004</v>
      </c>
      <c r="N18" s="205">
        <v>16013228.730000004</v>
      </c>
      <c r="O18" s="204">
        <v>0</v>
      </c>
      <c r="P18" s="206">
        <v>44793101.866248697</v>
      </c>
      <c r="Q18" s="245">
        <v>4242.9399999999996</v>
      </c>
      <c r="S18" s="87">
        <f t="shared" si="3"/>
        <v>5117267.7787044402</v>
      </c>
      <c r="T18" s="61">
        <f t="shared" si="2"/>
        <v>5364393.0595821729</v>
      </c>
      <c r="Z18" s="49">
        <v>16</v>
      </c>
      <c r="AA18" s="51" t="s">
        <v>307</v>
      </c>
      <c r="AB18" s="95">
        <v>9046229.2156826779</v>
      </c>
      <c r="AC18" s="91"/>
      <c r="AD18" s="51">
        <v>16</v>
      </c>
      <c r="AE18" s="51" t="s">
        <v>307</v>
      </c>
      <c r="AF18" s="95">
        <v>9154453.3734174035</v>
      </c>
      <c r="AH18" s="95"/>
      <c r="AI18" s="232">
        <v>16</v>
      </c>
      <c r="AJ18" s="51" t="s">
        <v>307</v>
      </c>
      <c r="AK18" s="51">
        <v>0</v>
      </c>
      <c r="AL18" s="241">
        <v>88190.804830626832</v>
      </c>
    </row>
    <row r="19" spans="1:43" x14ac:dyDescent="0.2">
      <c r="A19" s="49">
        <v>18</v>
      </c>
      <c r="B19" s="203">
        <v>21780747.054018866</v>
      </c>
      <c r="C19" s="204">
        <v>0</v>
      </c>
      <c r="D19" s="204">
        <v>171617</v>
      </c>
      <c r="E19" s="204">
        <v>0</v>
      </c>
      <c r="F19" s="204">
        <v>401484.1</v>
      </c>
      <c r="G19" s="205">
        <v>21207645.954018865</v>
      </c>
      <c r="H19" s="206">
        <v>4467089.68</v>
      </c>
      <c r="I19" s="204">
        <v>4652070.9899999993</v>
      </c>
      <c r="J19" s="204">
        <v>0</v>
      </c>
      <c r="K19" s="204">
        <v>0</v>
      </c>
      <c r="L19" s="204">
        <v>0</v>
      </c>
      <c r="M19" s="207">
        <v>4652070.9899999993</v>
      </c>
      <c r="N19" s="205">
        <v>13283230.109999999</v>
      </c>
      <c r="O19" s="204">
        <v>9590</v>
      </c>
      <c r="P19" s="206">
        <v>43610036.734018862</v>
      </c>
      <c r="Q19" s="245">
        <v>3759.0399999999995</v>
      </c>
      <c r="S19" s="87">
        <f t="shared" si="3"/>
        <v>4421542.2805984793</v>
      </c>
      <c r="T19" s="61">
        <f t="shared" si="2"/>
        <v>4586631.3028720645</v>
      </c>
      <c r="Z19" s="49">
        <v>17</v>
      </c>
      <c r="AA19" s="51" t="s">
        <v>308</v>
      </c>
      <c r="AB19" s="95">
        <v>5117267.7787044402</v>
      </c>
      <c r="AC19" s="91"/>
      <c r="AD19" s="51">
        <v>17</v>
      </c>
      <c r="AE19" s="51" t="s">
        <v>308</v>
      </c>
      <c r="AF19" s="95">
        <v>5364393.0595821729</v>
      </c>
      <c r="AH19" s="95"/>
      <c r="AI19" s="232">
        <v>17</v>
      </c>
      <c r="AJ19" s="51" t="s">
        <v>308</v>
      </c>
      <c r="AK19" s="51">
        <v>0</v>
      </c>
      <c r="AL19" s="241">
        <v>101958.55624869261</v>
      </c>
    </row>
    <row r="20" spans="1:43" x14ac:dyDescent="0.2">
      <c r="A20" s="49">
        <v>19</v>
      </c>
      <c r="B20" s="203">
        <v>2996293.060475633</v>
      </c>
      <c r="C20" s="204">
        <v>0</v>
      </c>
      <c r="D20" s="204">
        <v>0</v>
      </c>
      <c r="E20" s="204">
        <v>58493</v>
      </c>
      <c r="F20" s="204">
        <v>0</v>
      </c>
      <c r="G20" s="205">
        <v>2937800.060475633</v>
      </c>
      <c r="H20" s="206">
        <v>881942.32</v>
      </c>
      <c r="I20" s="204">
        <v>841751.07000000018</v>
      </c>
      <c r="J20" s="204">
        <v>0</v>
      </c>
      <c r="K20" s="204">
        <v>0</v>
      </c>
      <c r="L20" s="204">
        <v>0</v>
      </c>
      <c r="M20" s="207">
        <v>841751.07000000018</v>
      </c>
      <c r="N20" s="205">
        <v>5529596.1400000006</v>
      </c>
      <c r="O20" s="204">
        <v>0</v>
      </c>
      <c r="P20" s="206">
        <v>10191089.590475634</v>
      </c>
      <c r="Q20" s="245">
        <v>640.89</v>
      </c>
      <c r="S20" s="87">
        <f t="shared" si="3"/>
        <v>879095.00923466426</v>
      </c>
      <c r="T20" s="61">
        <f t="shared" si="2"/>
        <v>931997.46178925887</v>
      </c>
      <c r="Z20" s="49">
        <v>18</v>
      </c>
      <c r="AA20" s="51" t="s">
        <v>309</v>
      </c>
      <c r="AB20" s="95">
        <v>4421542.2805984793</v>
      </c>
      <c r="AC20" s="91"/>
      <c r="AD20" s="51">
        <v>18</v>
      </c>
      <c r="AE20" s="51" t="s">
        <v>309</v>
      </c>
      <c r="AF20" s="95">
        <v>4586631.3028720645</v>
      </c>
      <c r="AH20" s="95"/>
      <c r="AI20" s="232">
        <v>18</v>
      </c>
      <c r="AJ20" s="51" t="s">
        <v>309</v>
      </c>
      <c r="AK20" s="51">
        <v>136663</v>
      </c>
      <c r="AL20" s="241">
        <v>3207.3240188672989</v>
      </c>
      <c r="AQ20" s="230"/>
    </row>
    <row r="21" spans="1:43" x14ac:dyDescent="0.2">
      <c r="A21" s="49">
        <v>20</v>
      </c>
      <c r="B21" s="203">
        <v>16280330.002992336</v>
      </c>
      <c r="C21" s="204">
        <v>0</v>
      </c>
      <c r="D21" s="204">
        <v>0</v>
      </c>
      <c r="E21" s="204">
        <v>110183.94</v>
      </c>
      <c r="F21" s="204">
        <v>0</v>
      </c>
      <c r="G21" s="205">
        <v>16170146.062992336</v>
      </c>
      <c r="H21" s="206">
        <v>2059784</v>
      </c>
      <c r="I21" s="204">
        <v>2060900.38</v>
      </c>
      <c r="J21" s="204">
        <v>0</v>
      </c>
      <c r="K21" s="204">
        <v>0</v>
      </c>
      <c r="L21" s="204">
        <v>0</v>
      </c>
      <c r="M21" s="207">
        <v>2060900.38</v>
      </c>
      <c r="N21" s="205">
        <v>3636019.5799999982</v>
      </c>
      <c r="O21" s="204">
        <v>0</v>
      </c>
      <c r="P21" s="206">
        <v>23926850.022992332</v>
      </c>
      <c r="Q21" s="245">
        <v>1871.09</v>
      </c>
      <c r="S21" s="87">
        <f t="shared" si="3"/>
        <v>2070996.8315712335</v>
      </c>
      <c r="T21" s="61">
        <f t="shared" si="2"/>
        <v>2134847.8690833682</v>
      </c>
      <c r="Z21" s="49">
        <v>19</v>
      </c>
      <c r="AA21" s="51" t="s">
        <v>310</v>
      </c>
      <c r="AB21" s="95">
        <v>879095.00923466426</v>
      </c>
      <c r="AC21" s="91"/>
      <c r="AD21" s="51">
        <v>19</v>
      </c>
      <c r="AE21" s="51" t="s">
        <v>310</v>
      </c>
      <c r="AF21" s="95">
        <v>931997.46178925887</v>
      </c>
      <c r="AH21" s="95"/>
      <c r="AI21" s="232">
        <v>19</v>
      </c>
      <c r="AJ21" s="51" t="s">
        <v>310</v>
      </c>
      <c r="AK21" s="51">
        <v>10026</v>
      </c>
      <c r="AL21" s="241">
        <v>30295.770475632646</v>
      </c>
    </row>
    <row r="22" spans="1:43" x14ac:dyDescent="0.2">
      <c r="A22" s="49">
        <v>21</v>
      </c>
      <c r="B22" s="203">
        <v>272628489.48214</v>
      </c>
      <c r="C22" s="204">
        <v>0</v>
      </c>
      <c r="D22" s="204">
        <v>0</v>
      </c>
      <c r="E22" s="204">
        <v>0</v>
      </c>
      <c r="F22" s="204">
        <v>1299967.4099999999</v>
      </c>
      <c r="G22" s="205">
        <v>271328522.07213998</v>
      </c>
      <c r="H22" s="206">
        <v>63621477.5</v>
      </c>
      <c r="I22" s="204">
        <v>40228324.929999985</v>
      </c>
      <c r="J22" s="204">
        <v>0</v>
      </c>
      <c r="K22" s="204">
        <v>0</v>
      </c>
      <c r="L22" s="204">
        <v>45681.2</v>
      </c>
      <c r="M22" s="207">
        <v>40182643.729999982</v>
      </c>
      <c r="N22" s="205">
        <v>246825477.41000003</v>
      </c>
      <c r="O22" s="204">
        <v>7707</v>
      </c>
      <c r="P22" s="206">
        <v>621958120.71213996</v>
      </c>
      <c r="Q22" s="245">
        <v>60871.389999999992</v>
      </c>
      <c r="S22" s="87">
        <f t="shared" si="3"/>
        <v>64072363.346887626</v>
      </c>
      <c r="T22" s="61">
        <f t="shared" si="2"/>
        <v>67253350.645824119</v>
      </c>
      <c r="Z22" s="49">
        <v>20</v>
      </c>
      <c r="AA22" s="51" t="s">
        <v>311</v>
      </c>
      <c r="AB22" s="95">
        <v>2070996.8315712335</v>
      </c>
      <c r="AC22" s="91"/>
      <c r="AD22" s="51">
        <v>20</v>
      </c>
      <c r="AE22" s="51" t="s">
        <v>311</v>
      </c>
      <c r="AF22" s="95">
        <v>2134847.8690833682</v>
      </c>
      <c r="AH22" s="95"/>
      <c r="AI22" s="232">
        <v>20</v>
      </c>
      <c r="AJ22" s="51" t="s">
        <v>311</v>
      </c>
      <c r="AK22" s="51">
        <v>58205</v>
      </c>
      <c r="AL22" s="241">
        <v>63403.942992334203</v>
      </c>
    </row>
    <row r="23" spans="1:43" x14ac:dyDescent="0.2">
      <c r="A23" s="49">
        <v>22</v>
      </c>
      <c r="B23" s="203">
        <v>6860670.6922898339</v>
      </c>
      <c r="C23" s="204">
        <v>0</v>
      </c>
      <c r="D23" s="204">
        <v>0</v>
      </c>
      <c r="E23" s="204">
        <v>76969.02</v>
      </c>
      <c r="F23" s="204">
        <v>0</v>
      </c>
      <c r="G23" s="205">
        <v>6783701.6722898344</v>
      </c>
      <c r="H23" s="206">
        <v>2224028</v>
      </c>
      <c r="I23" s="204">
        <v>1024985.8799999999</v>
      </c>
      <c r="J23" s="204">
        <v>0</v>
      </c>
      <c r="K23" s="204">
        <v>0</v>
      </c>
      <c r="L23" s="204">
        <v>0</v>
      </c>
      <c r="M23" s="207">
        <v>1024985.8799999999</v>
      </c>
      <c r="N23" s="205">
        <v>13757875.180000003</v>
      </c>
      <c r="O23" s="204">
        <v>2500</v>
      </c>
      <c r="P23" s="206">
        <v>23790590.732289836</v>
      </c>
      <c r="Q23" s="245">
        <v>1977</v>
      </c>
      <c r="S23" s="87">
        <f t="shared" si="3"/>
        <v>2459308.7374908393</v>
      </c>
      <c r="T23" s="61">
        <f t="shared" si="2"/>
        <v>2493163.7449074932</v>
      </c>
      <c r="Z23" s="49">
        <v>21</v>
      </c>
      <c r="AA23" s="51" t="s">
        <v>312</v>
      </c>
      <c r="AB23" s="95">
        <v>64072363.346887626</v>
      </c>
      <c r="AC23" s="91"/>
      <c r="AD23" s="51">
        <v>21</v>
      </c>
      <c r="AE23" s="51" t="s">
        <v>312</v>
      </c>
      <c r="AF23" s="95">
        <v>67253350.645824119</v>
      </c>
      <c r="AH23" s="95"/>
      <c r="AI23" s="232">
        <v>21</v>
      </c>
      <c r="AJ23" s="51" t="s">
        <v>312</v>
      </c>
      <c r="AK23" s="51">
        <v>0</v>
      </c>
      <c r="AL23" s="241">
        <v>1253701.812139998</v>
      </c>
      <c r="AQ23" s="230"/>
    </row>
    <row r="24" spans="1:43" x14ac:dyDescent="0.2">
      <c r="A24" s="49">
        <v>23</v>
      </c>
      <c r="B24" s="203">
        <v>3607626.5350081022</v>
      </c>
      <c r="C24" s="204">
        <v>0</v>
      </c>
      <c r="D24" s="204">
        <v>0</v>
      </c>
      <c r="E24" s="204">
        <v>0</v>
      </c>
      <c r="F24" s="204">
        <v>0</v>
      </c>
      <c r="G24" s="205">
        <v>3607626.5350081022</v>
      </c>
      <c r="H24" s="206">
        <v>789105.62</v>
      </c>
      <c r="I24" s="204">
        <v>774507.0199999999</v>
      </c>
      <c r="J24" s="204">
        <v>41403.019999999997</v>
      </c>
      <c r="K24" s="204">
        <v>0</v>
      </c>
      <c r="L24" s="204">
        <v>173987.45</v>
      </c>
      <c r="M24" s="207">
        <v>641922.58999999985</v>
      </c>
      <c r="N24" s="205">
        <v>1986694.0399999991</v>
      </c>
      <c r="O24" s="204">
        <v>2704.7</v>
      </c>
      <c r="P24" s="206">
        <v>7025348.7850081008</v>
      </c>
      <c r="Q24" s="245">
        <v>599.51</v>
      </c>
      <c r="S24" s="87">
        <f t="shared" si="3"/>
        <v>811679.74779028806</v>
      </c>
      <c r="T24" s="61">
        <f t="shared" si="2"/>
        <v>797511.45065317012</v>
      </c>
      <c r="Z24" s="49">
        <v>22</v>
      </c>
      <c r="AA24" s="51" t="s">
        <v>313</v>
      </c>
      <c r="AB24" s="95">
        <v>2459308.7374908393</v>
      </c>
      <c r="AC24" s="91"/>
      <c r="AD24" s="51">
        <v>22</v>
      </c>
      <c r="AE24" s="51" t="s">
        <v>313</v>
      </c>
      <c r="AF24" s="95">
        <v>2493163.7449074932</v>
      </c>
      <c r="AH24" s="95"/>
      <c r="AI24" s="232">
        <v>22</v>
      </c>
      <c r="AJ24" s="51" t="s">
        <v>313</v>
      </c>
      <c r="AK24" s="51">
        <v>10304</v>
      </c>
      <c r="AL24" s="241">
        <v>16306.412289834994</v>
      </c>
    </row>
    <row r="25" spans="1:43" x14ac:dyDescent="0.2">
      <c r="A25" s="49">
        <v>24</v>
      </c>
      <c r="B25" s="203">
        <v>37918914.26000566</v>
      </c>
      <c r="C25" s="204">
        <v>0</v>
      </c>
      <c r="D25" s="204">
        <v>0</v>
      </c>
      <c r="E25" s="204">
        <v>437028</v>
      </c>
      <c r="F25" s="204">
        <v>0</v>
      </c>
      <c r="G25" s="205">
        <v>37481886.26000566</v>
      </c>
      <c r="H25" s="206">
        <v>9263576.1400000006</v>
      </c>
      <c r="I25" s="204">
        <v>5980519.3700000001</v>
      </c>
      <c r="J25" s="204">
        <v>0</v>
      </c>
      <c r="K25" s="204">
        <v>0</v>
      </c>
      <c r="L25" s="204">
        <v>100416</v>
      </c>
      <c r="M25" s="207">
        <v>5880103.3700000001</v>
      </c>
      <c r="N25" s="205">
        <v>32672281.660000011</v>
      </c>
      <c r="O25" s="204">
        <v>881340.13</v>
      </c>
      <c r="P25" s="206">
        <v>85297847.43000567</v>
      </c>
      <c r="Q25" s="245">
        <v>8145.4699999999993</v>
      </c>
      <c r="S25" s="87">
        <f t="shared" si="3"/>
        <v>9456114.0052644853</v>
      </c>
      <c r="T25" s="61">
        <f t="shared" si="2"/>
        <v>9973595.4412463084</v>
      </c>
      <c r="Z25" s="49">
        <v>23</v>
      </c>
      <c r="AA25" s="51" t="s">
        <v>314</v>
      </c>
      <c r="AB25" s="95">
        <v>811679.74779028806</v>
      </c>
      <c r="AC25" s="91"/>
      <c r="AD25" s="51">
        <v>23</v>
      </c>
      <c r="AE25" s="51" t="s">
        <v>314</v>
      </c>
      <c r="AF25" s="95">
        <v>797511.45065317012</v>
      </c>
      <c r="AH25" s="95"/>
      <c r="AI25" s="232">
        <v>23</v>
      </c>
      <c r="AJ25" s="51" t="s">
        <v>314</v>
      </c>
      <c r="AK25" s="51">
        <v>14539</v>
      </c>
      <c r="AL25" s="241">
        <v>1860.0950081015692</v>
      </c>
    </row>
    <row r="26" spans="1:43" x14ac:dyDescent="0.2">
      <c r="A26" s="49">
        <v>25</v>
      </c>
      <c r="B26" s="203">
        <v>8396600.953381557</v>
      </c>
      <c r="C26" s="204">
        <v>0</v>
      </c>
      <c r="D26" s="204">
        <v>0</v>
      </c>
      <c r="E26" s="204">
        <v>0</v>
      </c>
      <c r="F26" s="204">
        <v>0</v>
      </c>
      <c r="G26" s="205">
        <v>8396600.953381557</v>
      </c>
      <c r="H26" s="206">
        <v>1569189.4</v>
      </c>
      <c r="I26" s="204">
        <v>1668040.5400000003</v>
      </c>
      <c r="J26" s="204">
        <v>0</v>
      </c>
      <c r="K26" s="204">
        <v>0</v>
      </c>
      <c r="L26" s="204">
        <v>0</v>
      </c>
      <c r="M26" s="207">
        <v>1668040.5400000003</v>
      </c>
      <c r="N26" s="205">
        <v>3620108.1400000006</v>
      </c>
      <c r="O26" s="204">
        <v>21086.53</v>
      </c>
      <c r="P26" s="206">
        <v>15253939.033381559</v>
      </c>
      <c r="Q26" s="245">
        <v>1324.9</v>
      </c>
      <c r="S26" s="87">
        <f t="shared" si="3"/>
        <v>1591899.0402398675</v>
      </c>
      <c r="T26" s="61">
        <f t="shared" si="2"/>
        <v>1616653.5184820748</v>
      </c>
      <c r="Z26" s="49">
        <v>24</v>
      </c>
      <c r="AA26" s="51" t="s">
        <v>315</v>
      </c>
      <c r="AB26" s="95">
        <v>9456114.0052644853</v>
      </c>
      <c r="AC26" s="91"/>
      <c r="AD26" s="51">
        <v>24</v>
      </c>
      <c r="AE26" s="51" t="s">
        <v>315</v>
      </c>
      <c r="AF26" s="95">
        <v>9973595.4412463084</v>
      </c>
      <c r="AH26" s="95"/>
      <c r="AI26" s="232">
        <v>24</v>
      </c>
      <c r="AJ26" s="51" t="s">
        <v>315</v>
      </c>
      <c r="AK26" s="51">
        <v>15260</v>
      </c>
      <c r="AL26" s="241">
        <v>74607.560005660009</v>
      </c>
    </row>
    <row r="27" spans="1:43" x14ac:dyDescent="0.2">
      <c r="A27" s="49">
        <v>26</v>
      </c>
      <c r="B27" s="203">
        <v>12425380.188604409</v>
      </c>
      <c r="C27" s="204">
        <v>0</v>
      </c>
      <c r="D27" s="204">
        <v>0</v>
      </c>
      <c r="E27" s="204">
        <v>17582.400000000001</v>
      </c>
      <c r="F27" s="204">
        <v>0</v>
      </c>
      <c r="G27" s="205">
        <v>12407797.788604409</v>
      </c>
      <c r="H27" s="206">
        <v>2370656.4</v>
      </c>
      <c r="I27" s="204">
        <v>2592257.71</v>
      </c>
      <c r="J27" s="204">
        <v>0</v>
      </c>
      <c r="K27" s="204">
        <v>0</v>
      </c>
      <c r="L27" s="204">
        <v>0</v>
      </c>
      <c r="M27" s="207">
        <v>2592257.71</v>
      </c>
      <c r="N27" s="205">
        <v>6613498.3500000015</v>
      </c>
      <c r="O27" s="204">
        <v>30833.22</v>
      </c>
      <c r="P27" s="206">
        <v>23984210.248604409</v>
      </c>
      <c r="Q27" s="245">
        <v>2110.9300000000003</v>
      </c>
      <c r="S27" s="87">
        <f t="shared" si="3"/>
        <v>2346949.9684168794</v>
      </c>
      <c r="T27" s="61">
        <f t="shared" si="2"/>
        <v>2412284.0459025726</v>
      </c>
      <c r="Z27" s="49">
        <v>25</v>
      </c>
      <c r="AA27" s="51" t="s">
        <v>316</v>
      </c>
      <c r="AB27" s="95">
        <v>1591899.0402398675</v>
      </c>
      <c r="AC27" s="91"/>
      <c r="AD27" s="51">
        <v>25</v>
      </c>
      <c r="AE27" s="51" t="s">
        <v>316</v>
      </c>
      <c r="AF27" s="95">
        <v>1616653.5184820748</v>
      </c>
      <c r="AH27" s="95"/>
      <c r="AI27" s="232">
        <v>25</v>
      </c>
      <c r="AJ27" s="51" t="s">
        <v>316</v>
      </c>
      <c r="AK27" s="51">
        <v>55451</v>
      </c>
      <c r="AL27" s="241">
        <v>38553.123381558355</v>
      </c>
      <c r="AQ27" s="230"/>
    </row>
    <row r="28" spans="1:43" x14ac:dyDescent="0.2">
      <c r="A28" s="49">
        <v>27</v>
      </c>
      <c r="B28" s="203">
        <v>24062640.40857137</v>
      </c>
      <c r="C28" s="204">
        <v>0</v>
      </c>
      <c r="D28" s="204">
        <v>0</v>
      </c>
      <c r="E28" s="204">
        <v>299608</v>
      </c>
      <c r="F28" s="204">
        <v>0</v>
      </c>
      <c r="G28" s="205">
        <v>23763032.40857137</v>
      </c>
      <c r="H28" s="206">
        <v>4353114.88</v>
      </c>
      <c r="I28" s="204">
        <v>3353731.6300000004</v>
      </c>
      <c r="J28" s="204">
        <v>0</v>
      </c>
      <c r="K28" s="204">
        <v>0</v>
      </c>
      <c r="L28" s="204">
        <v>0</v>
      </c>
      <c r="M28" s="207">
        <v>3353731.6300000004</v>
      </c>
      <c r="N28" s="205">
        <v>15303818.060000002</v>
      </c>
      <c r="O28" s="204">
        <v>0</v>
      </c>
      <c r="P28" s="206">
        <v>46773696.97857137</v>
      </c>
      <c r="Q28" s="245">
        <v>4316.88</v>
      </c>
      <c r="S28" s="87">
        <f t="shared" si="3"/>
        <v>4560867.1542501906</v>
      </c>
      <c r="T28" s="61">
        <f t="shared" si="2"/>
        <v>4790711.4736170387</v>
      </c>
      <c r="Z28" s="49">
        <v>26</v>
      </c>
      <c r="AA28" s="51" t="s">
        <v>317</v>
      </c>
      <c r="AB28" s="95">
        <v>2346949.9684168794</v>
      </c>
      <c r="AC28" s="91"/>
      <c r="AD28" s="51">
        <v>26</v>
      </c>
      <c r="AE28" s="51" t="s">
        <v>317</v>
      </c>
      <c r="AF28" s="95">
        <v>2412284.0459025726</v>
      </c>
      <c r="AH28" s="95"/>
      <c r="AI28" s="232">
        <v>26</v>
      </c>
      <c r="AJ28" s="51" t="s">
        <v>317</v>
      </c>
      <c r="AK28" s="51">
        <v>63273</v>
      </c>
      <c r="AL28" s="241">
        <v>55084.36860440598</v>
      </c>
    </row>
    <row r="29" spans="1:43" x14ac:dyDescent="0.2">
      <c r="A29" s="49">
        <v>28</v>
      </c>
      <c r="B29" s="203">
        <v>6819706.6318790512</v>
      </c>
      <c r="C29" s="204">
        <v>75395</v>
      </c>
      <c r="D29" s="204">
        <v>0</v>
      </c>
      <c r="E29" s="204">
        <v>189103.16</v>
      </c>
      <c r="F29" s="204">
        <v>0</v>
      </c>
      <c r="G29" s="205">
        <v>6705998.4718790511</v>
      </c>
      <c r="H29" s="206">
        <v>1591586.96</v>
      </c>
      <c r="I29" s="204">
        <v>1601347.59</v>
      </c>
      <c r="J29" s="204">
        <v>0</v>
      </c>
      <c r="K29" s="204">
        <v>0</v>
      </c>
      <c r="L29" s="204">
        <v>0</v>
      </c>
      <c r="M29" s="207">
        <v>1601347.59</v>
      </c>
      <c r="N29" s="205">
        <v>8404037.9299999997</v>
      </c>
      <c r="O29" s="204">
        <v>0</v>
      </c>
      <c r="P29" s="206">
        <v>18302970.951879051</v>
      </c>
      <c r="Q29" s="245">
        <v>1370.0500000000002</v>
      </c>
      <c r="S29" s="87">
        <f t="shared" si="3"/>
        <v>1651224.4703109183</v>
      </c>
      <c r="T29" s="61">
        <f t="shared" si="2"/>
        <v>1669319.368996907</v>
      </c>
      <c r="Z29" s="49">
        <v>27</v>
      </c>
      <c r="AA29" s="51" t="s">
        <v>318</v>
      </c>
      <c r="AB29" s="95">
        <v>4560867.1542501906</v>
      </c>
      <c r="AC29" s="91"/>
      <c r="AD29" s="51">
        <v>27</v>
      </c>
      <c r="AE29" s="51" t="s">
        <v>318</v>
      </c>
      <c r="AF29" s="95">
        <v>4790711.4736170387</v>
      </c>
      <c r="AH29" s="95"/>
      <c r="AI29" s="232">
        <v>27</v>
      </c>
      <c r="AJ29" s="51" t="s">
        <v>318</v>
      </c>
      <c r="AK29" s="51">
        <v>16120</v>
      </c>
      <c r="AL29" s="241">
        <v>62401.338571372638</v>
      </c>
    </row>
    <row r="30" spans="1:43" x14ac:dyDescent="0.2">
      <c r="A30" s="49">
        <v>29</v>
      </c>
      <c r="B30" s="208">
        <v>462130282.80168253</v>
      </c>
      <c r="C30" s="208">
        <v>0</v>
      </c>
      <c r="D30" s="208">
        <v>0</v>
      </c>
      <c r="E30" s="208">
        <v>0</v>
      </c>
      <c r="F30" s="208">
        <v>4652110.67</v>
      </c>
      <c r="G30" s="211">
        <v>457478172.13168252</v>
      </c>
      <c r="H30" s="212">
        <v>201880750.93000001</v>
      </c>
      <c r="I30" s="209">
        <v>124774415.43000001</v>
      </c>
      <c r="J30" s="210">
        <v>0</v>
      </c>
      <c r="K30" s="210">
        <v>0</v>
      </c>
      <c r="L30" s="210">
        <v>603335.59</v>
      </c>
      <c r="M30" s="209">
        <v>124171079.84</v>
      </c>
      <c r="N30" s="211">
        <v>2098916608.4500003</v>
      </c>
      <c r="O30" s="204">
        <v>46336561.810000002</v>
      </c>
      <c r="P30" s="212">
        <v>2882446611.3516827</v>
      </c>
      <c r="Q30" s="246">
        <v>184537.54000000004</v>
      </c>
      <c r="R30" s="61"/>
      <c r="S30" s="87">
        <f>VLOOKUP(A30,$Z$3:$AB$138,3,FALSE)+VLOOKUP(134,$Z$2:$AB$147,3,FALSE)</f>
        <v>210589097.08948424</v>
      </c>
      <c r="T30" s="61">
        <f>VLOOKUP($A30,$AD$3:$AF$138,3,FALSE)+VLOOKUP(134,$AD$3:$AF$138,3,FALSE)</f>
        <v>218468293.01330277</v>
      </c>
      <c r="Z30" s="49">
        <v>28</v>
      </c>
      <c r="AA30" s="51" t="s">
        <v>319</v>
      </c>
      <c r="AB30" s="95">
        <v>1651224.4703109183</v>
      </c>
      <c r="AC30" s="91"/>
      <c r="AD30" s="51">
        <v>28</v>
      </c>
      <c r="AE30" s="51" t="s">
        <v>319</v>
      </c>
      <c r="AF30" s="95">
        <v>1669319.368996907</v>
      </c>
      <c r="AH30" s="95"/>
      <c r="AI30" s="232">
        <v>28</v>
      </c>
      <c r="AJ30" s="51" t="s">
        <v>319</v>
      </c>
      <c r="AK30" s="51">
        <v>44742</v>
      </c>
      <c r="AL30" s="241">
        <v>59448.891879051327</v>
      </c>
    </row>
    <row r="31" spans="1:43" x14ac:dyDescent="0.2">
      <c r="A31" s="49">
        <v>30</v>
      </c>
      <c r="B31" s="203">
        <v>35486817.839825764</v>
      </c>
      <c r="C31" s="204">
        <v>0</v>
      </c>
      <c r="D31" s="204">
        <v>0</v>
      </c>
      <c r="E31" s="204">
        <v>0</v>
      </c>
      <c r="F31" s="204">
        <v>674637</v>
      </c>
      <c r="G31" s="205">
        <v>34812180.839825764</v>
      </c>
      <c r="H31" s="206">
        <v>11855238.66</v>
      </c>
      <c r="I31" s="204">
        <v>6254383.1100000003</v>
      </c>
      <c r="J31" s="204">
        <v>0</v>
      </c>
      <c r="K31" s="204">
        <v>0</v>
      </c>
      <c r="L31" s="204">
        <v>0</v>
      </c>
      <c r="M31" s="207">
        <v>6254383.1100000003</v>
      </c>
      <c r="N31" s="205">
        <v>89801753.800000012</v>
      </c>
      <c r="O31" s="204">
        <v>0</v>
      </c>
      <c r="P31" s="206">
        <v>142723556.40982577</v>
      </c>
      <c r="Q31" s="245">
        <v>11071.679999999998</v>
      </c>
      <c r="S31" s="87">
        <f>VLOOKUP(A31,$Z$3:$AB$138,3,FALSE)</f>
        <v>12788225.660921847</v>
      </c>
      <c r="T31" s="61">
        <f t="shared" ref="T31:T40" si="4">VLOOKUP($A31,$AD$3:$AF$138,3,FALSE)</f>
        <v>13512552.503519751</v>
      </c>
      <c r="Z31" s="49">
        <v>29</v>
      </c>
      <c r="AA31" s="51" t="s">
        <v>320</v>
      </c>
      <c r="AB31" s="95">
        <v>207124851.52139589</v>
      </c>
      <c r="AC31" s="91"/>
      <c r="AD31" s="51">
        <v>29</v>
      </c>
      <c r="AE31" s="51" t="s">
        <v>320</v>
      </c>
      <c r="AF31" s="95">
        <v>214746886.3974601</v>
      </c>
      <c r="AH31" s="95"/>
      <c r="AI31" s="232">
        <v>29</v>
      </c>
      <c r="AJ31" s="97" t="s">
        <v>320</v>
      </c>
      <c r="AK31" s="247">
        <v>113385</v>
      </c>
      <c r="AL31" s="242">
        <v>2269476.8468335592</v>
      </c>
      <c r="AM31" s="51" t="s">
        <v>621</v>
      </c>
      <c r="AQ31" s="230"/>
    </row>
    <row r="32" spans="1:43" x14ac:dyDescent="0.2">
      <c r="A32" s="49">
        <v>31</v>
      </c>
      <c r="B32" s="203">
        <v>9955409.3783071991</v>
      </c>
      <c r="C32" s="204">
        <v>0</v>
      </c>
      <c r="D32" s="204">
        <v>0</v>
      </c>
      <c r="E32" s="204">
        <v>0</v>
      </c>
      <c r="F32" s="204">
        <v>0</v>
      </c>
      <c r="G32" s="205">
        <v>9955409.3783071991</v>
      </c>
      <c r="H32" s="206">
        <v>2291231.58</v>
      </c>
      <c r="I32" s="204">
        <v>1764403.8800000001</v>
      </c>
      <c r="J32" s="204">
        <v>0</v>
      </c>
      <c r="K32" s="204">
        <v>0</v>
      </c>
      <c r="L32" s="204">
        <v>0</v>
      </c>
      <c r="M32" s="207">
        <v>1764403.8800000001</v>
      </c>
      <c r="N32" s="205">
        <v>8364763.2999999989</v>
      </c>
      <c r="O32" s="204">
        <v>48961.55</v>
      </c>
      <c r="P32" s="206">
        <v>22375808.138307199</v>
      </c>
      <c r="Q32" s="245">
        <v>2025.6299999999999</v>
      </c>
      <c r="S32" s="87">
        <f t="shared" ref="S32:S40" si="5">VLOOKUP(A32,$Z$3:$AB$138,3,FALSE)</f>
        <v>2460207.6076434315</v>
      </c>
      <c r="T32" s="61">
        <f t="shared" si="4"/>
        <v>2610721.446949529</v>
      </c>
      <c r="Z32" s="49">
        <v>30</v>
      </c>
      <c r="AA32" s="51" t="s">
        <v>321</v>
      </c>
      <c r="AB32" s="95">
        <v>12788225.660921847</v>
      </c>
      <c r="AC32" s="91"/>
      <c r="AD32" s="51">
        <v>30</v>
      </c>
      <c r="AE32" s="51" t="s">
        <v>321</v>
      </c>
      <c r="AF32" s="95">
        <v>13512552.503519751</v>
      </c>
      <c r="AH32" s="95"/>
      <c r="AI32" s="232">
        <v>30</v>
      </c>
      <c r="AJ32" s="51" t="s">
        <v>321</v>
      </c>
      <c r="AK32" s="51">
        <v>175602</v>
      </c>
      <c r="AL32" s="241">
        <v>126754.49982576448</v>
      </c>
      <c r="AQ32" s="230"/>
    </row>
    <row r="33" spans="1:43" x14ac:dyDescent="0.2">
      <c r="A33" s="49">
        <v>32</v>
      </c>
      <c r="B33" s="203">
        <v>16532753.348095143</v>
      </c>
      <c r="C33" s="204">
        <v>0</v>
      </c>
      <c r="D33" s="204">
        <v>0</v>
      </c>
      <c r="E33" s="204">
        <v>0</v>
      </c>
      <c r="F33" s="204">
        <v>1060565.6000000001</v>
      </c>
      <c r="G33" s="205">
        <v>15472187.748095144</v>
      </c>
      <c r="H33" s="206">
        <v>4036015.54</v>
      </c>
      <c r="I33" s="204">
        <v>1998767.8</v>
      </c>
      <c r="J33" s="204">
        <v>0</v>
      </c>
      <c r="K33" s="204">
        <v>0</v>
      </c>
      <c r="L33" s="204">
        <v>0</v>
      </c>
      <c r="M33" s="207">
        <v>1998767.8</v>
      </c>
      <c r="N33" s="205">
        <v>17376279.850000001</v>
      </c>
      <c r="O33" s="204">
        <v>0</v>
      </c>
      <c r="P33" s="206">
        <v>38883250.938095145</v>
      </c>
      <c r="Q33" s="245">
        <v>3558.98</v>
      </c>
      <c r="S33" s="87">
        <f t="shared" si="5"/>
        <v>4305588.030914153</v>
      </c>
      <c r="T33" s="61">
        <f t="shared" si="4"/>
        <v>4495406.5260874452</v>
      </c>
      <c r="Z33" s="49">
        <v>31</v>
      </c>
      <c r="AA33" s="51" t="s">
        <v>322</v>
      </c>
      <c r="AB33" s="95">
        <v>2460207.6076434315</v>
      </c>
      <c r="AC33" s="91"/>
      <c r="AD33" s="51">
        <v>31</v>
      </c>
      <c r="AE33" s="51" t="s">
        <v>322</v>
      </c>
      <c r="AF33" s="95">
        <v>2610721.446949529</v>
      </c>
      <c r="AH33" s="95"/>
      <c r="AI33" s="232">
        <v>31</v>
      </c>
      <c r="AJ33" s="51" t="s">
        <v>322</v>
      </c>
      <c r="AK33" s="51">
        <v>14642</v>
      </c>
      <c r="AL33" s="241">
        <v>40091.048307199788</v>
      </c>
    </row>
    <row r="34" spans="1:43" x14ac:dyDescent="0.2">
      <c r="A34" s="49">
        <v>33</v>
      </c>
      <c r="B34" s="203">
        <v>33747992.787149578</v>
      </c>
      <c r="C34" s="204">
        <v>0</v>
      </c>
      <c r="D34" s="204">
        <v>0</v>
      </c>
      <c r="E34" s="204">
        <v>0</v>
      </c>
      <c r="F34" s="204">
        <v>0</v>
      </c>
      <c r="G34" s="205">
        <v>33747992.787149578</v>
      </c>
      <c r="H34" s="206">
        <v>8599299.6799999997</v>
      </c>
      <c r="I34" s="204">
        <v>7702766.9999999991</v>
      </c>
      <c r="J34" s="204">
        <v>0</v>
      </c>
      <c r="K34" s="204">
        <v>0</v>
      </c>
      <c r="L34" s="204">
        <v>0</v>
      </c>
      <c r="M34" s="207">
        <v>7702766.9999999991</v>
      </c>
      <c r="N34" s="205">
        <v>33679805.809999995</v>
      </c>
      <c r="O34" s="204">
        <v>1044211.81</v>
      </c>
      <c r="P34" s="206">
        <v>83729865.277149573</v>
      </c>
      <c r="Q34" s="245">
        <v>7183.170000000001</v>
      </c>
      <c r="S34" s="87">
        <f t="shared" si="5"/>
        <v>8728928.0518178158</v>
      </c>
      <c r="T34" s="61">
        <f t="shared" si="4"/>
        <v>9003039.0531872604</v>
      </c>
      <c r="Z34" s="49">
        <v>32</v>
      </c>
      <c r="AA34" s="51" t="s">
        <v>323</v>
      </c>
      <c r="AB34" s="95">
        <v>4305588.030914153</v>
      </c>
      <c r="AC34" s="91"/>
      <c r="AD34" s="51">
        <v>32</v>
      </c>
      <c r="AE34" s="51" t="s">
        <v>323</v>
      </c>
      <c r="AF34" s="95">
        <v>4495406.5260874452</v>
      </c>
      <c r="AH34" s="95"/>
      <c r="AI34" s="232">
        <v>32</v>
      </c>
      <c r="AJ34" s="51" t="s">
        <v>323</v>
      </c>
      <c r="AK34" s="51">
        <v>13924</v>
      </c>
      <c r="AL34" s="241">
        <v>158278.48809513997</v>
      </c>
      <c r="AQ34" s="230"/>
    </row>
    <row r="35" spans="1:43" x14ac:dyDescent="0.2">
      <c r="A35" s="49">
        <v>34</v>
      </c>
      <c r="B35" s="203">
        <v>61275277.275001012</v>
      </c>
      <c r="C35" s="204">
        <v>1731183.95</v>
      </c>
      <c r="D35" s="204">
        <v>1907788.29</v>
      </c>
      <c r="E35" s="204">
        <v>220143.56</v>
      </c>
      <c r="F35" s="204">
        <v>0</v>
      </c>
      <c r="G35" s="205">
        <v>60878529.375001013</v>
      </c>
      <c r="H35" s="206">
        <v>13884503.199999999</v>
      </c>
      <c r="I35" s="204">
        <v>8268932.1699999999</v>
      </c>
      <c r="J35" s="204">
        <v>0</v>
      </c>
      <c r="K35" s="204">
        <v>0</v>
      </c>
      <c r="L35" s="204">
        <v>36998</v>
      </c>
      <c r="M35" s="207">
        <v>8231934.1699999999</v>
      </c>
      <c r="N35" s="205">
        <v>84267803.539999992</v>
      </c>
      <c r="O35" s="204">
        <v>0</v>
      </c>
      <c r="P35" s="206">
        <v>167262770.28500101</v>
      </c>
      <c r="Q35" s="245">
        <v>13476.85</v>
      </c>
      <c r="S35" s="87">
        <f t="shared" si="5"/>
        <v>15103715.173998017</v>
      </c>
      <c r="T35" s="61">
        <f t="shared" si="4"/>
        <v>16045215.636313368</v>
      </c>
      <c r="Z35" s="49">
        <v>33</v>
      </c>
      <c r="AA35" s="51" t="s">
        <v>324</v>
      </c>
      <c r="AB35" s="95">
        <v>8728928.0518178158</v>
      </c>
      <c r="AC35" s="91"/>
      <c r="AD35" s="51">
        <v>33</v>
      </c>
      <c r="AE35" s="51" t="s">
        <v>324</v>
      </c>
      <c r="AF35" s="95">
        <v>9003039.0531872604</v>
      </c>
      <c r="AH35" s="95"/>
      <c r="AI35" s="232">
        <v>33</v>
      </c>
      <c r="AJ35" s="51" t="s">
        <v>324</v>
      </c>
      <c r="AK35" s="51">
        <v>13572</v>
      </c>
      <c r="AL35" s="241">
        <v>46823.737149579385</v>
      </c>
    </row>
    <row r="36" spans="1:43" x14ac:dyDescent="0.2">
      <c r="A36" s="49">
        <v>35</v>
      </c>
      <c r="B36" s="203">
        <v>13128771.376211103</v>
      </c>
      <c r="C36" s="204">
        <v>186445</v>
      </c>
      <c r="D36" s="204">
        <v>0</v>
      </c>
      <c r="E36" s="204">
        <v>171278</v>
      </c>
      <c r="F36" s="204">
        <v>0</v>
      </c>
      <c r="G36" s="205">
        <v>13143938.376211103</v>
      </c>
      <c r="H36" s="206">
        <v>2772617.14</v>
      </c>
      <c r="I36" s="204">
        <v>2226287.0599999996</v>
      </c>
      <c r="J36" s="204">
        <v>0</v>
      </c>
      <c r="K36" s="204">
        <v>0</v>
      </c>
      <c r="L36" s="204">
        <v>0</v>
      </c>
      <c r="M36" s="207">
        <v>2226287.0599999996</v>
      </c>
      <c r="N36" s="205">
        <v>8112687.7199999988</v>
      </c>
      <c r="O36" s="204">
        <v>0</v>
      </c>
      <c r="P36" s="206">
        <v>26255530.296211101</v>
      </c>
      <c r="Q36" s="245">
        <v>2474.5700000000002</v>
      </c>
      <c r="S36" s="87">
        <f t="shared" si="5"/>
        <v>2779306.5118134781</v>
      </c>
      <c r="T36" s="61">
        <f t="shared" si="4"/>
        <v>2916371.4722588216</v>
      </c>
      <c r="Z36" s="49">
        <v>34</v>
      </c>
      <c r="AA36" s="51" t="s">
        <v>325</v>
      </c>
      <c r="AB36" s="95">
        <v>15103715.173998017</v>
      </c>
      <c r="AC36" s="91"/>
      <c r="AD36" s="51">
        <v>34</v>
      </c>
      <c r="AE36" s="51" t="s">
        <v>325</v>
      </c>
      <c r="AF36" s="95">
        <v>16045215.636313368</v>
      </c>
      <c r="AH36" s="95"/>
      <c r="AI36" s="232">
        <v>34</v>
      </c>
      <c r="AJ36" s="51" t="s">
        <v>325</v>
      </c>
      <c r="AK36" s="51">
        <v>0</v>
      </c>
      <c r="AL36" s="241">
        <v>150134.9950010243</v>
      </c>
    </row>
    <row r="37" spans="1:43" x14ac:dyDescent="0.2">
      <c r="A37" s="49">
        <v>36</v>
      </c>
      <c r="B37" s="203">
        <v>24595037.246877678</v>
      </c>
      <c r="C37" s="204">
        <v>0</v>
      </c>
      <c r="D37" s="204">
        <v>0</v>
      </c>
      <c r="E37" s="204">
        <v>0</v>
      </c>
      <c r="F37" s="204">
        <v>0</v>
      </c>
      <c r="G37" s="205">
        <v>24595037.246877678</v>
      </c>
      <c r="H37" s="206">
        <v>5544993.7000000002</v>
      </c>
      <c r="I37" s="204">
        <v>3541653.64</v>
      </c>
      <c r="J37" s="204">
        <v>0</v>
      </c>
      <c r="K37" s="204">
        <v>0</v>
      </c>
      <c r="L37" s="204">
        <v>0</v>
      </c>
      <c r="M37" s="207">
        <v>3541653.64</v>
      </c>
      <c r="N37" s="205">
        <v>25741480.439999998</v>
      </c>
      <c r="O37" s="204">
        <v>33363.64</v>
      </c>
      <c r="P37" s="206">
        <v>59423165.026877671</v>
      </c>
      <c r="Q37" s="245">
        <v>5414.6200000000008</v>
      </c>
      <c r="S37" s="87">
        <f t="shared" si="5"/>
        <v>5965801.2027509874</v>
      </c>
      <c r="T37" s="61">
        <f t="shared" si="4"/>
        <v>6165666.3567006886</v>
      </c>
      <c r="Z37" s="49">
        <v>35</v>
      </c>
      <c r="AA37" s="51" t="s">
        <v>326</v>
      </c>
      <c r="AB37" s="95">
        <v>2779306.5118134781</v>
      </c>
      <c r="AC37" s="91"/>
      <c r="AD37" s="51">
        <v>35</v>
      </c>
      <c r="AE37" s="51" t="s">
        <v>326</v>
      </c>
      <c r="AF37" s="95">
        <v>2916371.4722588216</v>
      </c>
      <c r="AH37" s="95"/>
      <c r="AI37" s="232">
        <v>35</v>
      </c>
      <c r="AJ37" s="51" t="s">
        <v>326</v>
      </c>
      <c r="AK37" s="51">
        <v>16577</v>
      </c>
      <c r="AL37" s="241">
        <v>63978.836211101589</v>
      </c>
    </row>
    <row r="38" spans="1:43" x14ac:dyDescent="0.2">
      <c r="A38" s="49">
        <v>37</v>
      </c>
      <c r="B38" s="203">
        <v>3976911.9220956075</v>
      </c>
      <c r="C38" s="204">
        <v>61753.02</v>
      </c>
      <c r="D38" s="204">
        <v>84286.01</v>
      </c>
      <c r="E38" s="204">
        <v>2385.87</v>
      </c>
      <c r="F38" s="204">
        <v>0</v>
      </c>
      <c r="G38" s="205">
        <v>3951993.0620956076</v>
      </c>
      <c r="H38" s="206">
        <v>3213661.08</v>
      </c>
      <c r="I38" s="204">
        <v>1639876.5100000005</v>
      </c>
      <c r="J38" s="204">
        <v>0</v>
      </c>
      <c r="K38" s="204">
        <v>0</v>
      </c>
      <c r="L38" s="204">
        <v>40757.9</v>
      </c>
      <c r="M38" s="207">
        <v>1599118.6100000006</v>
      </c>
      <c r="N38" s="205">
        <v>23184677.849999994</v>
      </c>
      <c r="O38" s="204">
        <v>94624</v>
      </c>
      <c r="P38" s="206">
        <v>31949450.602095604</v>
      </c>
      <c r="Q38" s="245">
        <v>2645.6899999999996</v>
      </c>
      <c r="S38" s="87">
        <f t="shared" si="5"/>
        <v>3448065.9053416885</v>
      </c>
      <c r="T38" s="61">
        <f t="shared" si="4"/>
        <v>3557766.2946001682</v>
      </c>
      <c r="Z38" s="49">
        <v>36</v>
      </c>
      <c r="AA38" s="51" t="s">
        <v>327</v>
      </c>
      <c r="AB38" s="95">
        <v>5965801.2027509874</v>
      </c>
      <c r="AC38" s="91"/>
      <c r="AD38" s="51">
        <v>36</v>
      </c>
      <c r="AE38" s="51" t="s">
        <v>327</v>
      </c>
      <c r="AF38" s="95">
        <v>6165666.3567006886</v>
      </c>
      <c r="AH38" s="95"/>
      <c r="AI38" s="232">
        <v>36</v>
      </c>
      <c r="AJ38" s="51" t="s">
        <v>327</v>
      </c>
      <c r="AK38" s="51">
        <v>104931</v>
      </c>
      <c r="AL38" s="241">
        <v>58679.886877669429</v>
      </c>
    </row>
    <row r="39" spans="1:43" x14ac:dyDescent="0.2">
      <c r="A39" s="49">
        <v>38</v>
      </c>
      <c r="B39" s="203">
        <v>9018627.6999999993</v>
      </c>
      <c r="C39" s="204">
        <v>0</v>
      </c>
      <c r="D39" s="204">
        <v>0</v>
      </c>
      <c r="E39" s="204">
        <v>0</v>
      </c>
      <c r="F39" s="204">
        <v>0</v>
      </c>
      <c r="G39" s="205">
        <v>9018627.6999999993</v>
      </c>
      <c r="H39" s="206">
        <v>2133828.7999999998</v>
      </c>
      <c r="I39" s="204">
        <v>2067270.26</v>
      </c>
      <c r="J39" s="204">
        <v>0</v>
      </c>
      <c r="K39" s="204">
        <v>0</v>
      </c>
      <c r="L39" s="204">
        <v>0</v>
      </c>
      <c r="M39" s="207">
        <v>2067270.26</v>
      </c>
      <c r="N39" s="205">
        <v>7065813.160000002</v>
      </c>
      <c r="O39" s="204">
        <v>0</v>
      </c>
      <c r="P39" s="206">
        <v>20285539.920000002</v>
      </c>
      <c r="Q39" s="245">
        <v>1573.06</v>
      </c>
      <c r="S39" s="87">
        <f t="shared" si="5"/>
        <v>2236388.9396481025</v>
      </c>
      <c r="T39" s="61">
        <f t="shared" si="4"/>
        <v>2228894.0307169966</v>
      </c>
      <c r="Z39" s="49">
        <v>37</v>
      </c>
      <c r="AA39" s="51" t="s">
        <v>328</v>
      </c>
      <c r="AB39" s="95">
        <v>3448065.9053416885</v>
      </c>
      <c r="AC39" s="91"/>
      <c r="AD39" s="51">
        <v>37</v>
      </c>
      <c r="AE39" s="51" t="s">
        <v>328</v>
      </c>
      <c r="AF39" s="95">
        <v>3557766.2946001682</v>
      </c>
      <c r="AH39" s="95"/>
      <c r="AI39" s="232">
        <v>37</v>
      </c>
      <c r="AJ39" s="51" t="s">
        <v>328</v>
      </c>
      <c r="AK39" s="51">
        <v>16324</v>
      </c>
      <c r="AL39" s="241">
        <v>94408.022095607565</v>
      </c>
    </row>
    <row r="40" spans="1:43" x14ac:dyDescent="0.2">
      <c r="A40" s="49">
        <v>39</v>
      </c>
      <c r="B40" s="203">
        <v>15719592.330877505</v>
      </c>
      <c r="C40" s="204">
        <v>0</v>
      </c>
      <c r="D40" s="204">
        <v>0</v>
      </c>
      <c r="E40" s="204">
        <v>180000</v>
      </c>
      <c r="F40" s="204">
        <v>0</v>
      </c>
      <c r="G40" s="205">
        <v>15539592.330877505</v>
      </c>
      <c r="H40" s="206">
        <v>3390554.32</v>
      </c>
      <c r="I40" s="204">
        <v>2201600.96</v>
      </c>
      <c r="J40" s="204">
        <v>0</v>
      </c>
      <c r="K40" s="204">
        <v>0</v>
      </c>
      <c r="L40" s="204">
        <v>0</v>
      </c>
      <c r="M40" s="207">
        <v>2201600.96</v>
      </c>
      <c r="N40" s="205">
        <v>14477199.459999993</v>
      </c>
      <c r="O40" s="204">
        <v>637671.96</v>
      </c>
      <c r="P40" s="206">
        <v>35608947.0708775</v>
      </c>
      <c r="Q40" s="245">
        <v>3071.56</v>
      </c>
      <c r="S40" s="87">
        <f t="shared" si="5"/>
        <v>3659300.3912007343</v>
      </c>
      <c r="T40" s="61">
        <f t="shared" si="4"/>
        <v>3975331.2522534793</v>
      </c>
      <c r="Z40" s="49">
        <v>38</v>
      </c>
      <c r="AA40" s="51" t="s">
        <v>329</v>
      </c>
      <c r="AB40" s="95">
        <v>2236388.9396481025</v>
      </c>
      <c r="AC40" s="91"/>
      <c r="AD40" s="51">
        <v>38</v>
      </c>
      <c r="AE40" s="51" t="s">
        <v>329</v>
      </c>
      <c r="AF40" s="95">
        <v>2228894.0307169966</v>
      </c>
      <c r="AH40" s="95"/>
      <c r="AI40" s="232">
        <v>38</v>
      </c>
      <c r="AJ40" s="51" t="s">
        <v>329</v>
      </c>
      <c r="AK40" s="51">
        <v>13628</v>
      </c>
      <c r="AL40" s="241">
        <v>0</v>
      </c>
    </row>
    <row r="41" spans="1:43" x14ac:dyDescent="0.2">
      <c r="A41" s="49">
        <v>40</v>
      </c>
      <c r="B41" s="208">
        <v>15165446.46054573</v>
      </c>
      <c r="C41" s="208">
        <v>0</v>
      </c>
      <c r="D41" s="208">
        <v>0</v>
      </c>
      <c r="E41" s="208">
        <v>0</v>
      </c>
      <c r="F41" s="208">
        <v>0</v>
      </c>
      <c r="G41" s="211">
        <v>15165446.46054573</v>
      </c>
      <c r="H41" s="212">
        <v>2609388.1799999997</v>
      </c>
      <c r="I41" s="209">
        <v>4359761.3099999996</v>
      </c>
      <c r="J41" s="210">
        <v>0</v>
      </c>
      <c r="K41" s="210">
        <v>0</v>
      </c>
      <c r="L41" s="210">
        <v>41967</v>
      </c>
      <c r="M41" s="209">
        <v>4317794.3099999996</v>
      </c>
      <c r="N41" s="211">
        <v>5643803.7600000054</v>
      </c>
      <c r="O41" s="204">
        <v>10464849.43</v>
      </c>
      <c r="P41" s="212">
        <v>27736432.710545734</v>
      </c>
      <c r="Q41" s="246">
        <v>1284.98</v>
      </c>
      <c r="R41" s="61"/>
      <c r="S41" s="87">
        <f>VLOOKUP(A41,$Z$3:$AB$138,3,FALSE)+VLOOKUP(138,$Z$2:$AB$138,3,FALSE)</f>
        <v>2659756.7815187844</v>
      </c>
      <c r="T41" s="61">
        <f>VLOOKUP($A41,$AD$3:$AF$138,3,FALSE)+VLOOKUP(138,$AD$3:$AF$138,3,FALSE)</f>
        <v>2712291.3015138479</v>
      </c>
      <c r="Z41" s="49">
        <v>39</v>
      </c>
      <c r="AA41" s="51" t="s">
        <v>330</v>
      </c>
      <c r="AB41" s="95">
        <v>3659300.3912007343</v>
      </c>
      <c r="AC41" s="91"/>
      <c r="AD41" s="51">
        <v>39</v>
      </c>
      <c r="AE41" s="51" t="s">
        <v>330</v>
      </c>
      <c r="AF41" s="95">
        <v>3975331.2522534793</v>
      </c>
      <c r="AH41" s="95"/>
      <c r="AI41" s="232">
        <v>39</v>
      </c>
      <c r="AJ41" s="51" t="s">
        <v>330</v>
      </c>
      <c r="AK41" s="51">
        <v>15142</v>
      </c>
      <c r="AL41" s="241">
        <v>96860.280877500947</v>
      </c>
    </row>
    <row r="42" spans="1:43" x14ac:dyDescent="0.2">
      <c r="A42" s="49">
        <v>41</v>
      </c>
      <c r="B42" s="203">
        <v>29753812.590000004</v>
      </c>
      <c r="C42" s="204">
        <v>0</v>
      </c>
      <c r="D42" s="204">
        <v>0</v>
      </c>
      <c r="E42" s="204">
        <v>302246</v>
      </c>
      <c r="F42" s="204">
        <v>0</v>
      </c>
      <c r="G42" s="205">
        <v>29451566.590000004</v>
      </c>
      <c r="H42" s="206">
        <v>5789494.7800000003</v>
      </c>
      <c r="I42" s="204">
        <v>7283246.6200000001</v>
      </c>
      <c r="J42" s="204">
        <v>0</v>
      </c>
      <c r="K42" s="204">
        <v>0</v>
      </c>
      <c r="L42" s="204">
        <v>0</v>
      </c>
      <c r="M42" s="207">
        <v>7283246.6200000001</v>
      </c>
      <c r="N42" s="205">
        <v>14988658.32</v>
      </c>
      <c r="O42" s="204">
        <v>3675</v>
      </c>
      <c r="P42" s="206">
        <v>57512966.310000002</v>
      </c>
      <c r="Q42" s="245">
        <v>5026.4800000000005</v>
      </c>
      <c r="S42" s="87">
        <f>VLOOKUP(A42,$Z$3:$AB$138,3,FALSE)</f>
        <v>5820184.2380311349</v>
      </c>
      <c r="T42" s="61">
        <f t="shared" ref="T42:T47" si="6">VLOOKUP($A42,$AD$3:$AF$138,3,FALSE)</f>
        <v>5937134.1839309707</v>
      </c>
      <c r="Z42" s="49">
        <v>40</v>
      </c>
      <c r="AA42" s="51" t="s">
        <v>331</v>
      </c>
      <c r="AB42" s="95">
        <v>1484933.4920814573</v>
      </c>
      <c r="AC42" s="91"/>
      <c r="AD42" s="51">
        <v>40</v>
      </c>
      <c r="AE42" s="51" t="s">
        <v>331</v>
      </c>
      <c r="AF42" s="95">
        <v>1526369.2033137917</v>
      </c>
      <c r="AH42" s="95"/>
      <c r="AI42" s="232">
        <v>40</v>
      </c>
      <c r="AJ42" s="97" t="s">
        <v>331</v>
      </c>
      <c r="AK42" s="247">
        <v>125424</v>
      </c>
      <c r="AL42" s="242">
        <v>17362.965814486939</v>
      </c>
      <c r="AM42" s="51" t="s">
        <v>622</v>
      </c>
    </row>
    <row r="43" spans="1:43" x14ac:dyDescent="0.2">
      <c r="A43" s="49">
        <v>42</v>
      </c>
      <c r="B43" s="203">
        <v>70981165.409293711</v>
      </c>
      <c r="C43" s="204">
        <v>230482</v>
      </c>
      <c r="D43" s="204">
        <v>0</v>
      </c>
      <c r="E43" s="204">
        <v>0</v>
      </c>
      <c r="F43" s="204">
        <v>0</v>
      </c>
      <c r="G43" s="205">
        <v>71211647.409293711</v>
      </c>
      <c r="H43" s="206">
        <v>18107772.719999999</v>
      </c>
      <c r="I43" s="204">
        <v>9263204.8499999996</v>
      </c>
      <c r="J43" s="204">
        <v>0</v>
      </c>
      <c r="K43" s="204">
        <v>0</v>
      </c>
      <c r="L43" s="204">
        <v>0</v>
      </c>
      <c r="M43" s="207">
        <v>9263204.8499999996</v>
      </c>
      <c r="N43" s="205">
        <v>89995054.790000021</v>
      </c>
      <c r="O43" s="204">
        <v>478672</v>
      </c>
      <c r="P43" s="206">
        <v>188577679.76929373</v>
      </c>
      <c r="Q43" s="245">
        <v>17814.669999999998</v>
      </c>
      <c r="S43" s="87">
        <f t="shared" ref="S43:S106" si="7">VLOOKUP(A43,$Z$3:$AB$138,3,FALSE)</f>
        <v>19238517.875919752</v>
      </c>
      <c r="T43" s="61">
        <f t="shared" si="6"/>
        <v>20237793.521940529</v>
      </c>
      <c r="Z43" s="49">
        <v>41</v>
      </c>
      <c r="AA43" s="51" t="s">
        <v>332</v>
      </c>
      <c r="AB43" s="95">
        <v>5820184.2380311349</v>
      </c>
      <c r="AC43" s="91"/>
      <c r="AD43" s="51">
        <v>41</v>
      </c>
      <c r="AE43" s="51" t="s">
        <v>332</v>
      </c>
      <c r="AF43" s="95">
        <v>5937134.1839309707</v>
      </c>
      <c r="AH43" s="95"/>
      <c r="AI43" s="232">
        <v>41</v>
      </c>
      <c r="AJ43" s="51" t="s">
        <v>332</v>
      </c>
      <c r="AK43" s="51">
        <v>15303</v>
      </c>
      <c r="AL43" s="241">
        <v>0</v>
      </c>
    </row>
    <row r="44" spans="1:43" x14ac:dyDescent="0.2">
      <c r="A44" s="49">
        <v>43</v>
      </c>
      <c r="B44" s="203">
        <v>210461474.80101654</v>
      </c>
      <c r="C44" s="204">
        <v>0</v>
      </c>
      <c r="D44" s="204">
        <v>0</v>
      </c>
      <c r="E44" s="204">
        <v>34149677.93</v>
      </c>
      <c r="F44" s="204">
        <v>0</v>
      </c>
      <c r="G44" s="205">
        <v>176311796.87101653</v>
      </c>
      <c r="H44" s="206">
        <v>55781965.859999999</v>
      </c>
      <c r="I44" s="204">
        <v>35698298.979999997</v>
      </c>
      <c r="J44" s="204">
        <v>0</v>
      </c>
      <c r="K44" s="204">
        <v>0</v>
      </c>
      <c r="L44" s="204">
        <v>571846.76</v>
      </c>
      <c r="M44" s="207">
        <v>35126452.219999999</v>
      </c>
      <c r="N44" s="205">
        <v>249403615.40000001</v>
      </c>
      <c r="O44" s="204">
        <v>124845.51</v>
      </c>
      <c r="P44" s="206">
        <v>516623830.35101652</v>
      </c>
      <c r="Q44" s="245">
        <v>51398.319999999992</v>
      </c>
      <c r="S44" s="87">
        <f t="shared" si="7"/>
        <v>57125894.807659112</v>
      </c>
      <c r="T44" s="61">
        <f t="shared" si="6"/>
        <v>59765395.256554611</v>
      </c>
      <c r="Z44" s="49">
        <v>42</v>
      </c>
      <c r="AA44" s="51" t="s">
        <v>333</v>
      </c>
      <c r="AB44" s="95">
        <v>19238517.875919752</v>
      </c>
      <c r="AC44" s="91"/>
      <c r="AD44" s="51">
        <v>42</v>
      </c>
      <c r="AE44" s="51" t="s">
        <v>333</v>
      </c>
      <c r="AF44" s="95">
        <v>20237793.521940529</v>
      </c>
      <c r="AH44" s="95"/>
      <c r="AI44" s="232">
        <v>42</v>
      </c>
      <c r="AJ44" s="51" t="s">
        <v>333</v>
      </c>
      <c r="AK44" s="51">
        <v>43280</v>
      </c>
      <c r="AL44" s="241">
        <v>160999.77929372556</v>
      </c>
    </row>
    <row r="45" spans="1:43" x14ac:dyDescent="0.2">
      <c r="A45" s="49">
        <v>44</v>
      </c>
      <c r="B45" s="203">
        <v>46385464.769316085</v>
      </c>
      <c r="C45" s="204">
        <v>0</v>
      </c>
      <c r="D45" s="204">
        <v>0</v>
      </c>
      <c r="E45" s="204">
        <v>247509.05</v>
      </c>
      <c r="F45" s="204">
        <v>688721</v>
      </c>
      <c r="G45" s="205">
        <v>45449234.719316088</v>
      </c>
      <c r="H45" s="206">
        <v>7531013.0199999996</v>
      </c>
      <c r="I45" s="204">
        <v>9877039.6599999983</v>
      </c>
      <c r="J45" s="204">
        <v>0</v>
      </c>
      <c r="K45" s="204">
        <v>0</v>
      </c>
      <c r="L45" s="204">
        <v>32999.08</v>
      </c>
      <c r="M45" s="207">
        <v>9844040.5799999982</v>
      </c>
      <c r="N45" s="205">
        <v>14932841.650000021</v>
      </c>
      <c r="O45" s="204">
        <v>385676.21</v>
      </c>
      <c r="P45" s="206">
        <v>77757129.96931611</v>
      </c>
      <c r="Q45" s="245">
        <v>7429.54</v>
      </c>
      <c r="S45" s="87">
        <f t="shared" si="7"/>
        <v>8251628.0007916335</v>
      </c>
      <c r="T45" s="61">
        <f t="shared" si="6"/>
        <v>8475440.0864226054</v>
      </c>
      <c r="Z45" s="49">
        <v>43</v>
      </c>
      <c r="AA45" s="51" t="s">
        <v>334</v>
      </c>
      <c r="AB45" s="95">
        <v>57125894.807659112</v>
      </c>
      <c r="AC45" s="91"/>
      <c r="AD45" s="51">
        <v>43</v>
      </c>
      <c r="AE45" s="51" t="s">
        <v>334</v>
      </c>
      <c r="AF45" s="95">
        <v>59765395.256554611</v>
      </c>
      <c r="AH45" s="95"/>
      <c r="AI45" s="232">
        <v>43</v>
      </c>
      <c r="AJ45" s="51" t="s">
        <v>334</v>
      </c>
      <c r="AK45" s="51">
        <v>72712</v>
      </c>
      <c r="AL45" s="241">
        <v>569690.1410164712</v>
      </c>
    </row>
    <row r="46" spans="1:43" x14ac:dyDescent="0.2">
      <c r="A46" s="49">
        <v>45</v>
      </c>
      <c r="B46" s="203">
        <v>1413469.750636328</v>
      </c>
      <c r="C46" s="204">
        <v>0</v>
      </c>
      <c r="D46" s="204">
        <v>0</v>
      </c>
      <c r="E46" s="204">
        <v>0</v>
      </c>
      <c r="F46" s="204">
        <v>0</v>
      </c>
      <c r="G46" s="205">
        <v>1413469.750636328</v>
      </c>
      <c r="H46" s="206">
        <v>237362.22</v>
      </c>
      <c r="I46" s="204">
        <v>216857.18</v>
      </c>
      <c r="J46" s="204">
        <v>0</v>
      </c>
      <c r="K46" s="204">
        <v>0</v>
      </c>
      <c r="L46" s="204">
        <v>0</v>
      </c>
      <c r="M46" s="207">
        <v>216857.18</v>
      </c>
      <c r="N46" s="205">
        <v>2409461.61</v>
      </c>
      <c r="O46" s="204">
        <v>0</v>
      </c>
      <c r="P46" s="206">
        <v>4277150.7606363278</v>
      </c>
      <c r="Q46" s="245">
        <v>208.73999999999998</v>
      </c>
      <c r="S46" s="87">
        <f t="shared" si="7"/>
        <v>246290.42181012066</v>
      </c>
      <c r="T46" s="61">
        <f t="shared" si="6"/>
        <v>242639.09701476168</v>
      </c>
      <c r="Z46" s="49">
        <v>44</v>
      </c>
      <c r="AA46" s="51" t="s">
        <v>335</v>
      </c>
      <c r="AB46" s="95">
        <v>8251628.0007916335</v>
      </c>
      <c r="AC46" s="91"/>
      <c r="AD46" s="51">
        <v>44</v>
      </c>
      <c r="AE46" s="51" t="s">
        <v>335</v>
      </c>
      <c r="AF46" s="95">
        <v>8475440.0864226054</v>
      </c>
      <c r="AH46" s="95"/>
      <c r="AI46" s="232">
        <v>44</v>
      </c>
      <c r="AJ46" s="51" t="s">
        <v>335</v>
      </c>
      <c r="AK46" s="51">
        <v>76408</v>
      </c>
      <c r="AL46" s="241">
        <v>175328.22931609332</v>
      </c>
      <c r="AQ46" s="230"/>
    </row>
    <row r="47" spans="1:43" x14ac:dyDescent="0.2">
      <c r="A47" s="49">
        <v>46</v>
      </c>
      <c r="B47" s="203">
        <v>24011947.717638124</v>
      </c>
      <c r="C47" s="204">
        <v>0</v>
      </c>
      <c r="D47" s="204">
        <v>0</v>
      </c>
      <c r="E47" s="204">
        <v>426767.38</v>
      </c>
      <c r="F47" s="204">
        <v>0</v>
      </c>
      <c r="G47" s="205">
        <v>23585180.337638125</v>
      </c>
      <c r="H47" s="206">
        <v>5829997.6399999997</v>
      </c>
      <c r="I47" s="204">
        <v>3242099.9800000004</v>
      </c>
      <c r="J47" s="204">
        <v>0</v>
      </c>
      <c r="K47" s="204">
        <v>0</v>
      </c>
      <c r="L47" s="204">
        <v>41776.230000000003</v>
      </c>
      <c r="M47" s="207">
        <v>3200323.7500000005</v>
      </c>
      <c r="N47" s="205">
        <v>25124735.670000002</v>
      </c>
      <c r="O47" s="204">
        <v>0</v>
      </c>
      <c r="P47" s="206">
        <v>57740237.397638127</v>
      </c>
      <c r="Q47" s="245">
        <v>5475.58</v>
      </c>
      <c r="S47" s="87">
        <f t="shared" si="7"/>
        <v>6176136.8184574414</v>
      </c>
      <c r="T47" s="61">
        <f t="shared" si="6"/>
        <v>6486363.7678713612</v>
      </c>
      <c r="Z47" s="49">
        <v>45</v>
      </c>
      <c r="AA47" s="51" t="s">
        <v>336</v>
      </c>
      <c r="AB47" s="95">
        <v>246290.42181012066</v>
      </c>
      <c r="AC47" s="91"/>
      <c r="AD47" s="51">
        <v>45</v>
      </c>
      <c r="AE47" s="51" t="s">
        <v>336</v>
      </c>
      <c r="AF47" s="95">
        <v>242639.09701476168</v>
      </c>
      <c r="AH47" s="95"/>
      <c r="AI47" s="232">
        <v>45</v>
      </c>
      <c r="AJ47" s="51" t="s">
        <v>336</v>
      </c>
      <c r="AK47" s="51">
        <v>1872</v>
      </c>
      <c r="AL47" s="241">
        <v>431.21063632779914</v>
      </c>
    </row>
    <row r="48" spans="1:43" x14ac:dyDescent="0.2">
      <c r="A48" s="49">
        <v>47</v>
      </c>
      <c r="B48" s="213">
        <v>0</v>
      </c>
      <c r="C48" s="213">
        <v>0</v>
      </c>
      <c r="D48" s="213">
        <v>0</v>
      </c>
      <c r="E48" s="213">
        <v>0</v>
      </c>
      <c r="F48" s="213">
        <v>0</v>
      </c>
      <c r="G48" s="213">
        <v>0</v>
      </c>
      <c r="H48" s="215" t="s">
        <v>597</v>
      </c>
      <c r="I48" s="213">
        <v>0</v>
      </c>
      <c r="J48" s="213">
        <v>0</v>
      </c>
      <c r="K48" s="213">
        <v>0</v>
      </c>
      <c r="L48" s="213">
        <v>0</v>
      </c>
      <c r="M48" s="216">
        <v>0</v>
      </c>
      <c r="N48" s="214">
        <v>0</v>
      </c>
      <c r="O48" s="204">
        <v>0</v>
      </c>
      <c r="P48" s="214">
        <v>0</v>
      </c>
      <c r="Q48" s="246">
        <v>10634.55</v>
      </c>
      <c r="R48" s="61"/>
      <c r="S48" s="87">
        <v>0</v>
      </c>
      <c r="T48" s="61">
        <v>0</v>
      </c>
      <c r="Z48" s="49">
        <v>46</v>
      </c>
      <c r="AA48" s="51" t="s">
        <v>337</v>
      </c>
      <c r="AB48" s="95">
        <v>6176136.8184574414</v>
      </c>
      <c r="AC48" s="91"/>
      <c r="AD48" s="51">
        <v>46</v>
      </c>
      <c r="AE48" s="51" t="s">
        <v>337</v>
      </c>
      <c r="AF48" s="95">
        <v>6486363.7678713612</v>
      </c>
      <c r="AH48" s="95"/>
      <c r="AI48" s="232">
        <v>46</v>
      </c>
      <c r="AJ48" s="51" t="s">
        <v>337</v>
      </c>
      <c r="AK48" s="51">
        <v>8902</v>
      </c>
      <c r="AL48" s="241">
        <v>125325.0876381238</v>
      </c>
    </row>
    <row r="49" spans="1:43" x14ac:dyDescent="0.2">
      <c r="A49" s="49">
        <v>48</v>
      </c>
      <c r="B49" s="203">
        <v>20627239.54884905</v>
      </c>
      <c r="C49" s="204">
        <v>0</v>
      </c>
      <c r="D49" s="204">
        <v>0</v>
      </c>
      <c r="E49" s="204">
        <v>0</v>
      </c>
      <c r="F49" s="204">
        <v>0</v>
      </c>
      <c r="G49" s="205">
        <v>20627239.54884905</v>
      </c>
      <c r="H49" s="206">
        <v>4539060.22</v>
      </c>
      <c r="I49" s="204">
        <v>2119939.44</v>
      </c>
      <c r="J49" s="204">
        <v>0</v>
      </c>
      <c r="K49" s="204">
        <v>0</v>
      </c>
      <c r="L49" s="204">
        <v>0</v>
      </c>
      <c r="M49" s="207">
        <v>2119939.44</v>
      </c>
      <c r="N49" s="205">
        <v>17518053.650000006</v>
      </c>
      <c r="O49" s="204">
        <v>51042.65</v>
      </c>
      <c r="P49" s="206">
        <v>44804292.858849056</v>
      </c>
      <c r="Q49" s="245">
        <v>4460.3900000000003</v>
      </c>
      <c r="S49" s="87">
        <f t="shared" si="7"/>
        <v>4955471.1512379386</v>
      </c>
      <c r="T49" s="61">
        <f t="shared" ref="T49:T80" si="8">VLOOKUP($A49,$AD$3:$AF$138,3,FALSE)</f>
        <v>5252478.1272381544</v>
      </c>
      <c r="Z49" s="49">
        <v>47</v>
      </c>
      <c r="AA49" s="51" t="s">
        <v>338</v>
      </c>
      <c r="AB49" s="95">
        <v>11908231.781534592</v>
      </c>
      <c r="AC49" s="91"/>
      <c r="AD49" s="51">
        <v>47</v>
      </c>
      <c r="AE49" s="51" t="s">
        <v>338</v>
      </c>
      <c r="AF49" s="95">
        <v>12744195.362973006</v>
      </c>
      <c r="AH49" s="95"/>
      <c r="AI49" s="232">
        <v>47</v>
      </c>
      <c r="AJ49" s="98" t="s">
        <v>338</v>
      </c>
      <c r="AK49" s="51">
        <v>53026</v>
      </c>
      <c r="AL49" s="241">
        <v>0</v>
      </c>
      <c r="AM49" s="51" t="s">
        <v>627</v>
      </c>
    </row>
    <row r="50" spans="1:43" x14ac:dyDescent="0.2">
      <c r="A50" s="49">
        <v>49</v>
      </c>
      <c r="B50" s="203">
        <v>4538641.3247808507</v>
      </c>
      <c r="C50" s="204">
        <v>0</v>
      </c>
      <c r="D50" s="204">
        <v>0</v>
      </c>
      <c r="E50" s="204">
        <v>0</v>
      </c>
      <c r="F50" s="204">
        <v>0</v>
      </c>
      <c r="G50" s="205">
        <v>4538641.3247808507</v>
      </c>
      <c r="H50" s="206">
        <v>995038.3</v>
      </c>
      <c r="I50" s="204">
        <v>934094.85</v>
      </c>
      <c r="J50" s="204">
        <v>0</v>
      </c>
      <c r="K50" s="204">
        <v>0</v>
      </c>
      <c r="L50" s="204">
        <v>0</v>
      </c>
      <c r="M50" s="207">
        <v>934094.85</v>
      </c>
      <c r="N50" s="205">
        <v>4130538.34</v>
      </c>
      <c r="O50" s="204">
        <v>0</v>
      </c>
      <c r="P50" s="206">
        <v>10598312.81478085</v>
      </c>
      <c r="Q50" s="245">
        <v>811.18</v>
      </c>
      <c r="S50" s="87">
        <f t="shared" si="7"/>
        <v>1015723.2724285997</v>
      </c>
      <c r="T50" s="61">
        <f t="shared" si="8"/>
        <v>1040150.5476679318</v>
      </c>
      <c r="Z50" s="49">
        <v>48</v>
      </c>
      <c r="AA50" s="51" t="s">
        <v>339</v>
      </c>
      <c r="AB50" s="95">
        <v>4955471.1512379386</v>
      </c>
      <c r="AC50" s="91"/>
      <c r="AD50" s="51">
        <v>48</v>
      </c>
      <c r="AE50" s="51" t="s">
        <v>339</v>
      </c>
      <c r="AF50" s="95">
        <v>5252478.1272381544</v>
      </c>
      <c r="AH50" s="95"/>
      <c r="AI50" s="232">
        <v>48</v>
      </c>
      <c r="AJ50" s="51" t="s">
        <v>339</v>
      </c>
      <c r="AK50" s="51">
        <v>32896</v>
      </c>
      <c r="AL50" s="241">
        <v>169672.52884905433</v>
      </c>
    </row>
    <row r="51" spans="1:43" x14ac:dyDescent="0.2">
      <c r="A51" s="49">
        <v>50</v>
      </c>
      <c r="B51" s="203">
        <v>12084985.957932038</v>
      </c>
      <c r="C51" s="204">
        <v>0</v>
      </c>
      <c r="D51" s="204">
        <v>0</v>
      </c>
      <c r="E51" s="204">
        <v>0</v>
      </c>
      <c r="F51" s="204">
        <v>479175</v>
      </c>
      <c r="G51" s="205">
        <v>11605810.957932038</v>
      </c>
      <c r="H51" s="206">
        <v>2209248.6</v>
      </c>
      <c r="I51" s="204">
        <v>1421225.62</v>
      </c>
      <c r="J51" s="204">
        <v>0</v>
      </c>
      <c r="K51" s="204">
        <v>0</v>
      </c>
      <c r="L51" s="204">
        <v>0</v>
      </c>
      <c r="M51" s="207">
        <v>1421225.62</v>
      </c>
      <c r="N51" s="205">
        <v>10165009.640000001</v>
      </c>
      <c r="O51" s="204">
        <v>8384</v>
      </c>
      <c r="P51" s="206">
        <v>25401294.817932039</v>
      </c>
      <c r="Q51" s="245">
        <v>2186</v>
      </c>
      <c r="S51" s="87">
        <f t="shared" si="7"/>
        <v>2231894.5888851443</v>
      </c>
      <c r="T51" s="61">
        <f t="shared" si="8"/>
        <v>2285321.7276971741</v>
      </c>
      <c r="Z51" s="49">
        <v>49</v>
      </c>
      <c r="AA51" s="51" t="s">
        <v>340</v>
      </c>
      <c r="AB51" s="95">
        <v>1015723.2724285997</v>
      </c>
      <c r="AC51" s="91"/>
      <c r="AD51" s="51">
        <v>49</v>
      </c>
      <c r="AE51" s="51" t="s">
        <v>340</v>
      </c>
      <c r="AF51" s="95">
        <v>1040150.5476679318</v>
      </c>
      <c r="AH51" s="95"/>
      <c r="AI51" s="232">
        <v>49</v>
      </c>
      <c r="AJ51" s="51" t="s">
        <v>340</v>
      </c>
      <c r="AK51" s="51">
        <v>43400</v>
      </c>
      <c r="AL51" s="241">
        <v>25405.954780850872</v>
      </c>
    </row>
    <row r="52" spans="1:43" x14ac:dyDescent="0.2">
      <c r="A52" s="49">
        <v>51</v>
      </c>
      <c r="B52" s="203">
        <v>2834283.0023924327</v>
      </c>
      <c r="C52" s="204">
        <v>0</v>
      </c>
      <c r="D52" s="204">
        <v>0</v>
      </c>
      <c r="E52" s="204">
        <v>0</v>
      </c>
      <c r="F52" s="204">
        <v>18428.03</v>
      </c>
      <c r="G52" s="205">
        <v>2815854.9723924329</v>
      </c>
      <c r="H52" s="206">
        <v>1216681.72</v>
      </c>
      <c r="I52" s="204">
        <v>1257596.54</v>
      </c>
      <c r="J52" s="204">
        <v>0</v>
      </c>
      <c r="K52" s="204">
        <v>0</v>
      </c>
      <c r="L52" s="204">
        <v>0</v>
      </c>
      <c r="M52" s="207">
        <v>1257596.54</v>
      </c>
      <c r="N52" s="205">
        <v>10826718.93</v>
      </c>
      <c r="O52" s="204">
        <v>0</v>
      </c>
      <c r="P52" s="206">
        <v>16116852.162392434</v>
      </c>
      <c r="Q52" s="245">
        <v>1147.8900000000001</v>
      </c>
      <c r="S52" s="87">
        <f t="shared" si="7"/>
        <v>1305159.4615631211</v>
      </c>
      <c r="T52" s="61">
        <f t="shared" si="8"/>
        <v>1342038.7265118794</v>
      </c>
      <c r="Z52" s="49">
        <v>50</v>
      </c>
      <c r="AA52" s="51" t="s">
        <v>341</v>
      </c>
      <c r="AB52" s="95">
        <v>2231894.5888851443</v>
      </c>
      <c r="AC52" s="91"/>
      <c r="AD52" s="51">
        <v>50</v>
      </c>
      <c r="AE52" s="51" t="s">
        <v>341</v>
      </c>
      <c r="AF52" s="95">
        <v>2285321.7276971741</v>
      </c>
      <c r="AH52" s="95"/>
      <c r="AI52" s="232">
        <v>50</v>
      </c>
      <c r="AJ52" s="51" t="s">
        <v>341</v>
      </c>
      <c r="AK52" s="51">
        <v>109191</v>
      </c>
      <c r="AL52" s="241">
        <v>83950.647932036911</v>
      </c>
      <c r="AQ52" s="230"/>
    </row>
    <row r="53" spans="1:43" x14ac:dyDescent="0.2">
      <c r="A53" s="49">
        <v>52</v>
      </c>
      <c r="B53" s="203">
        <v>23879986.201949783</v>
      </c>
      <c r="C53" s="204">
        <v>793276.79</v>
      </c>
      <c r="D53" s="204">
        <v>535292.09</v>
      </c>
      <c r="E53" s="204">
        <v>269297.2</v>
      </c>
      <c r="F53" s="204">
        <v>0</v>
      </c>
      <c r="G53" s="205">
        <v>23868673.701949783</v>
      </c>
      <c r="H53" s="206">
        <v>3637121.9</v>
      </c>
      <c r="I53" s="204">
        <v>7401443.1900000013</v>
      </c>
      <c r="J53" s="204">
        <v>0</v>
      </c>
      <c r="K53" s="204">
        <v>0</v>
      </c>
      <c r="L53" s="204">
        <v>47219.360000000001</v>
      </c>
      <c r="M53" s="207">
        <v>7354223.830000001</v>
      </c>
      <c r="N53" s="205">
        <v>5265983.1899999976</v>
      </c>
      <c r="O53" s="204">
        <v>3760.61</v>
      </c>
      <c r="P53" s="206">
        <v>40126002.621949777</v>
      </c>
      <c r="Q53" s="245">
        <v>3267.35</v>
      </c>
      <c r="S53" s="87">
        <f t="shared" si="7"/>
        <v>3673682.3136422005</v>
      </c>
      <c r="T53" s="61">
        <f t="shared" si="8"/>
        <v>3836142.9330357085</v>
      </c>
      <c r="Z53" s="49">
        <v>51</v>
      </c>
      <c r="AA53" s="51" t="s">
        <v>342</v>
      </c>
      <c r="AB53" s="95">
        <v>1305159.4615631211</v>
      </c>
      <c r="AC53" s="91"/>
      <c r="AD53" s="51">
        <v>51</v>
      </c>
      <c r="AE53" s="51" t="s">
        <v>342</v>
      </c>
      <c r="AF53" s="95">
        <v>1342038.7265118794</v>
      </c>
      <c r="AH53" s="95"/>
      <c r="AI53" s="232">
        <v>51</v>
      </c>
      <c r="AJ53" s="51" t="s">
        <v>342</v>
      </c>
      <c r="AK53" s="51">
        <v>0</v>
      </c>
      <c r="AL53" s="241">
        <v>21214.102392433335</v>
      </c>
    </row>
    <row r="54" spans="1:43" x14ac:dyDescent="0.2">
      <c r="A54" s="49">
        <v>53</v>
      </c>
      <c r="B54" s="203">
        <v>262688175.46348169</v>
      </c>
      <c r="C54" s="204">
        <v>0</v>
      </c>
      <c r="D54" s="204">
        <v>0</v>
      </c>
      <c r="E54" s="204">
        <v>0</v>
      </c>
      <c r="F54" s="204">
        <v>0</v>
      </c>
      <c r="G54" s="205">
        <v>262688175.46348169</v>
      </c>
      <c r="H54" s="206">
        <v>76573688.5</v>
      </c>
      <c r="I54" s="204">
        <v>24272935.939999994</v>
      </c>
      <c r="J54" s="204">
        <v>89155.32</v>
      </c>
      <c r="K54" s="204">
        <v>0</v>
      </c>
      <c r="L54" s="204">
        <v>0</v>
      </c>
      <c r="M54" s="207">
        <v>24362091.259999994</v>
      </c>
      <c r="N54" s="205">
        <v>816757760.23000002</v>
      </c>
      <c r="O54" s="204">
        <v>0</v>
      </c>
      <c r="P54" s="206">
        <v>1180381715.4534817</v>
      </c>
      <c r="Q54" s="245">
        <v>81119.34</v>
      </c>
      <c r="S54" s="87">
        <f t="shared" si="7"/>
        <v>84769747.480463669</v>
      </c>
      <c r="T54" s="61">
        <f t="shared" si="8"/>
        <v>90481812.107714042</v>
      </c>
      <c r="Z54" s="49">
        <v>52</v>
      </c>
      <c r="AA54" s="51" t="s">
        <v>343</v>
      </c>
      <c r="AB54" s="95">
        <v>3673682.3136422005</v>
      </c>
      <c r="AC54" s="91"/>
      <c r="AD54" s="51">
        <v>52</v>
      </c>
      <c r="AE54" s="51" t="s">
        <v>343</v>
      </c>
      <c r="AF54" s="95">
        <v>3836142.9330357085</v>
      </c>
      <c r="AH54" s="95"/>
      <c r="AI54" s="232">
        <v>52</v>
      </c>
      <c r="AJ54" s="51" t="s">
        <v>343</v>
      </c>
      <c r="AK54" s="51">
        <v>191159</v>
      </c>
      <c r="AL54" s="241">
        <v>7157.0819497795173</v>
      </c>
    </row>
    <row r="55" spans="1:43" x14ac:dyDescent="0.2">
      <c r="A55" s="49">
        <v>54</v>
      </c>
      <c r="B55" s="203">
        <v>17352362.985172916</v>
      </c>
      <c r="C55" s="204">
        <v>0</v>
      </c>
      <c r="D55" s="204">
        <v>0</v>
      </c>
      <c r="E55" s="204">
        <v>255726.94</v>
      </c>
      <c r="F55" s="204">
        <v>0</v>
      </c>
      <c r="G55" s="205">
        <v>17096636.045172915</v>
      </c>
      <c r="H55" s="206">
        <v>5347706.78</v>
      </c>
      <c r="I55" s="204">
        <v>3324012.91</v>
      </c>
      <c r="J55" s="204">
        <v>0</v>
      </c>
      <c r="K55" s="204">
        <v>0</v>
      </c>
      <c r="L55" s="204">
        <v>0</v>
      </c>
      <c r="M55" s="207">
        <v>3324012.91</v>
      </c>
      <c r="N55" s="205">
        <v>34047676.420000002</v>
      </c>
      <c r="O55" s="204">
        <v>292231</v>
      </c>
      <c r="P55" s="206">
        <v>59816032.155172922</v>
      </c>
      <c r="Q55" s="245">
        <v>4853.1400000000003</v>
      </c>
      <c r="S55" s="87">
        <f t="shared" si="7"/>
        <v>5434568.9425693043</v>
      </c>
      <c r="T55" s="61">
        <f t="shared" si="8"/>
        <v>5693554.6252998728</v>
      </c>
      <c r="Z55" s="49">
        <v>53</v>
      </c>
      <c r="AA55" s="51" t="s">
        <v>344</v>
      </c>
      <c r="AB55" s="95">
        <v>84769747.480463669</v>
      </c>
      <c r="AC55" s="91"/>
      <c r="AD55" s="51">
        <v>53</v>
      </c>
      <c r="AE55" s="51" t="s">
        <v>344</v>
      </c>
      <c r="AF55" s="95">
        <v>90481812.107714042</v>
      </c>
      <c r="AH55" s="95"/>
      <c r="AI55" s="232">
        <v>53</v>
      </c>
      <c r="AJ55" s="51" t="s">
        <v>344</v>
      </c>
      <c r="AK55" s="51">
        <v>0</v>
      </c>
      <c r="AL55" s="241">
        <v>647620.93348176533</v>
      </c>
    </row>
    <row r="56" spans="1:43" x14ac:dyDescent="0.2">
      <c r="A56" s="49">
        <v>55</v>
      </c>
      <c r="B56" s="203">
        <v>9335427.0564005394</v>
      </c>
      <c r="C56" s="204">
        <v>0</v>
      </c>
      <c r="D56" s="204">
        <v>0</v>
      </c>
      <c r="E56" s="204">
        <v>0</v>
      </c>
      <c r="F56" s="204">
        <v>0</v>
      </c>
      <c r="G56" s="205">
        <v>9335427.0564005394</v>
      </c>
      <c r="H56" s="206">
        <v>1677487.36</v>
      </c>
      <c r="I56" s="204">
        <v>1721480.5799999996</v>
      </c>
      <c r="J56" s="204">
        <v>0</v>
      </c>
      <c r="K56" s="204">
        <v>0</v>
      </c>
      <c r="L56" s="204">
        <v>0</v>
      </c>
      <c r="M56" s="207">
        <v>1721480.5799999996</v>
      </c>
      <c r="N56" s="205">
        <v>3374982.2100000046</v>
      </c>
      <c r="O56" s="204">
        <v>60222</v>
      </c>
      <c r="P56" s="206">
        <v>16109377.206400543</v>
      </c>
      <c r="Q56" s="245">
        <v>1505.42</v>
      </c>
      <c r="S56" s="87">
        <f t="shared" si="7"/>
        <v>1771673.0707582035</v>
      </c>
      <c r="T56" s="61">
        <f t="shared" si="8"/>
        <v>1861173.5387295091</v>
      </c>
      <c r="Z56" s="49">
        <v>54</v>
      </c>
      <c r="AA56" s="51" t="s">
        <v>345</v>
      </c>
      <c r="AB56" s="95">
        <v>5434568.9425693043</v>
      </c>
      <c r="AC56" s="91"/>
      <c r="AD56" s="51">
        <v>54</v>
      </c>
      <c r="AE56" s="51" t="s">
        <v>345</v>
      </c>
      <c r="AF56" s="95">
        <v>5693554.6252998728</v>
      </c>
      <c r="AH56" s="95"/>
      <c r="AI56" s="232">
        <v>54</v>
      </c>
      <c r="AJ56" s="51" t="s">
        <v>345</v>
      </c>
      <c r="AK56" s="51">
        <v>74493</v>
      </c>
      <c r="AL56" s="241">
        <v>86507.005172920602</v>
      </c>
    </row>
    <row r="57" spans="1:43" x14ac:dyDescent="0.2">
      <c r="A57" s="49">
        <v>56</v>
      </c>
      <c r="B57" s="203">
        <v>7883555.2654368943</v>
      </c>
      <c r="C57" s="204">
        <v>0</v>
      </c>
      <c r="D57" s="204">
        <v>0</v>
      </c>
      <c r="E57" s="204">
        <v>0</v>
      </c>
      <c r="F57" s="204">
        <v>0</v>
      </c>
      <c r="G57" s="205">
        <v>7883555.2654368943</v>
      </c>
      <c r="H57" s="206">
        <v>2031968.14</v>
      </c>
      <c r="I57" s="204">
        <v>1426899.57</v>
      </c>
      <c r="J57" s="204">
        <v>0</v>
      </c>
      <c r="K57" s="204">
        <v>0</v>
      </c>
      <c r="L57" s="204">
        <v>0</v>
      </c>
      <c r="M57" s="207">
        <v>1426899.57</v>
      </c>
      <c r="N57" s="205">
        <v>9856244.9700000007</v>
      </c>
      <c r="O57" s="204">
        <v>0</v>
      </c>
      <c r="P57" s="206">
        <v>21198667.945436895</v>
      </c>
      <c r="Q57" s="245">
        <v>1722.4400000000003</v>
      </c>
      <c r="S57" s="87">
        <f t="shared" si="7"/>
        <v>2151895.1453044848</v>
      </c>
      <c r="T57" s="61">
        <f t="shared" si="8"/>
        <v>2189394.6428308729</v>
      </c>
      <c r="Z57" s="49">
        <v>55</v>
      </c>
      <c r="AA57" s="51" t="s">
        <v>346</v>
      </c>
      <c r="AB57" s="95">
        <v>1771673.0707582035</v>
      </c>
      <c r="AC57" s="91"/>
      <c r="AD57" s="51">
        <v>55</v>
      </c>
      <c r="AE57" s="51" t="s">
        <v>346</v>
      </c>
      <c r="AF57" s="95">
        <v>1861173.5387295091</v>
      </c>
      <c r="AH57" s="95"/>
      <c r="AI57" s="232">
        <v>55</v>
      </c>
      <c r="AJ57" s="51" t="s">
        <v>346</v>
      </c>
      <c r="AK57" s="51">
        <v>60222</v>
      </c>
      <c r="AL57" s="241">
        <v>47376.206400544135</v>
      </c>
    </row>
    <row r="58" spans="1:43" x14ac:dyDescent="0.2">
      <c r="A58" s="49">
        <v>57</v>
      </c>
      <c r="B58" s="203">
        <v>4350180.3687037947</v>
      </c>
      <c r="C58" s="204">
        <v>0</v>
      </c>
      <c r="D58" s="204">
        <v>0</v>
      </c>
      <c r="E58" s="204">
        <v>0</v>
      </c>
      <c r="F58" s="204">
        <v>0</v>
      </c>
      <c r="G58" s="205">
        <v>4350180.3687037947</v>
      </c>
      <c r="H58" s="206">
        <v>1133597.6200000001</v>
      </c>
      <c r="I58" s="204">
        <v>782596.21</v>
      </c>
      <c r="J58" s="204">
        <v>0</v>
      </c>
      <c r="K58" s="204">
        <v>0</v>
      </c>
      <c r="L58" s="204">
        <v>0</v>
      </c>
      <c r="M58" s="207">
        <v>782596.21</v>
      </c>
      <c r="N58" s="205">
        <v>7673074.1399999997</v>
      </c>
      <c r="O58" s="204">
        <v>0</v>
      </c>
      <c r="P58" s="206">
        <v>13939448.338703794</v>
      </c>
      <c r="Q58" s="245">
        <v>1084.2000000000003</v>
      </c>
      <c r="S58" s="87">
        <f t="shared" si="7"/>
        <v>1172126.6789795524</v>
      </c>
      <c r="T58" s="61">
        <f t="shared" si="8"/>
        <v>1213195.4850738083</v>
      </c>
      <c r="Z58" s="49">
        <v>56</v>
      </c>
      <c r="AA58" s="51" t="s">
        <v>347</v>
      </c>
      <c r="AB58" s="95">
        <v>2151895.1453044848</v>
      </c>
      <c r="AC58" s="91"/>
      <c r="AD58" s="51">
        <v>56</v>
      </c>
      <c r="AE58" s="51" t="s">
        <v>347</v>
      </c>
      <c r="AF58" s="95">
        <v>2189394.6428308729</v>
      </c>
      <c r="AH58" s="95"/>
      <c r="AI58" s="232">
        <v>56</v>
      </c>
      <c r="AJ58" s="51" t="s">
        <v>347</v>
      </c>
      <c r="AK58" s="51">
        <v>12091</v>
      </c>
      <c r="AL58" s="241">
        <v>86537.81543689614</v>
      </c>
    </row>
    <row r="59" spans="1:43" x14ac:dyDescent="0.2">
      <c r="A59" s="49">
        <v>58</v>
      </c>
      <c r="B59" s="203">
        <v>21760807.807081621</v>
      </c>
      <c r="C59" s="204">
        <v>0</v>
      </c>
      <c r="D59" s="204">
        <v>0</v>
      </c>
      <c r="E59" s="204">
        <v>0</v>
      </c>
      <c r="F59" s="204">
        <v>0</v>
      </c>
      <c r="G59" s="205">
        <v>21760807.807081621</v>
      </c>
      <c r="H59" s="206">
        <v>4390373.32</v>
      </c>
      <c r="I59" s="204">
        <v>4844284.54</v>
      </c>
      <c r="J59" s="204">
        <v>0</v>
      </c>
      <c r="K59" s="204">
        <v>0</v>
      </c>
      <c r="L59" s="204">
        <v>0</v>
      </c>
      <c r="M59" s="207">
        <v>4844284.54</v>
      </c>
      <c r="N59" s="205">
        <v>16996700.749999996</v>
      </c>
      <c r="O59" s="204">
        <v>0</v>
      </c>
      <c r="P59" s="206">
        <v>47992166.417081617</v>
      </c>
      <c r="Q59" s="245">
        <v>4283.4799999999996</v>
      </c>
      <c r="S59" s="87">
        <f t="shared" si="7"/>
        <v>4756820.847515177</v>
      </c>
      <c r="T59" s="61">
        <f t="shared" si="8"/>
        <v>4874412.557470968</v>
      </c>
      <c r="Z59" s="49">
        <v>57</v>
      </c>
      <c r="AA59" s="51" t="s">
        <v>348</v>
      </c>
      <c r="AB59" s="95">
        <v>1172126.6789795524</v>
      </c>
      <c r="AC59" s="91"/>
      <c r="AD59" s="51">
        <v>57</v>
      </c>
      <c r="AE59" s="51" t="s">
        <v>348</v>
      </c>
      <c r="AF59" s="95">
        <v>1213195.4850738083</v>
      </c>
      <c r="AH59" s="95"/>
      <c r="AI59" s="232">
        <v>57</v>
      </c>
      <c r="AJ59" s="51" t="s">
        <v>348</v>
      </c>
      <c r="AK59" s="51">
        <v>37353</v>
      </c>
      <c r="AL59" s="241">
        <v>31167.438703793709</v>
      </c>
    </row>
    <row r="60" spans="1:43" x14ac:dyDescent="0.2">
      <c r="A60" s="49">
        <v>59</v>
      </c>
      <c r="B60" s="203">
        <v>4177810.6947796238</v>
      </c>
      <c r="C60" s="204">
        <v>0</v>
      </c>
      <c r="D60" s="204">
        <v>0</v>
      </c>
      <c r="E60" s="204">
        <v>0</v>
      </c>
      <c r="F60" s="204">
        <v>551648</v>
      </c>
      <c r="G60" s="205">
        <v>3626162.6947796238</v>
      </c>
      <c r="H60" s="206">
        <v>1245096.6599999999</v>
      </c>
      <c r="I60" s="204">
        <v>1101995.33</v>
      </c>
      <c r="J60" s="204">
        <v>0</v>
      </c>
      <c r="K60" s="204">
        <v>0</v>
      </c>
      <c r="L60" s="204">
        <v>0</v>
      </c>
      <c r="M60" s="207">
        <v>1101995.33</v>
      </c>
      <c r="N60" s="205">
        <v>8424364.290000001</v>
      </c>
      <c r="O60" s="204">
        <v>0</v>
      </c>
      <c r="P60" s="206">
        <v>14397618.974779624</v>
      </c>
      <c r="Q60" s="245">
        <v>1252.56</v>
      </c>
      <c r="S60" s="87">
        <f t="shared" si="7"/>
        <v>1355496.1901082553</v>
      </c>
      <c r="T60" s="61">
        <f t="shared" si="8"/>
        <v>1384359.4992470124</v>
      </c>
      <c r="Z60" s="49">
        <v>58</v>
      </c>
      <c r="AA60" s="51" t="s">
        <v>349</v>
      </c>
      <c r="AB60" s="95">
        <v>4756820.847515177</v>
      </c>
      <c r="AC60" s="91"/>
      <c r="AD60" s="51">
        <v>58</v>
      </c>
      <c r="AE60" s="51" t="s">
        <v>349</v>
      </c>
      <c r="AF60" s="95">
        <v>4874412.557470968</v>
      </c>
      <c r="AH60" s="95"/>
      <c r="AI60" s="232">
        <v>58</v>
      </c>
      <c r="AJ60" s="51" t="s">
        <v>349</v>
      </c>
      <c r="AK60" s="51">
        <v>208656</v>
      </c>
      <c r="AL60" s="241">
        <v>96071.687081616998</v>
      </c>
    </row>
    <row r="61" spans="1:43" x14ac:dyDescent="0.2">
      <c r="A61" s="49">
        <v>60</v>
      </c>
      <c r="B61" s="203">
        <v>44291670.900297217</v>
      </c>
      <c r="C61" s="204">
        <v>0</v>
      </c>
      <c r="D61" s="204">
        <v>0</v>
      </c>
      <c r="E61" s="204">
        <v>0</v>
      </c>
      <c r="F61" s="204">
        <v>641202.52</v>
      </c>
      <c r="G61" s="205">
        <v>43650468.380297214</v>
      </c>
      <c r="H61" s="206">
        <v>10955834.720000001</v>
      </c>
      <c r="I61" s="204">
        <v>6622462.8300000001</v>
      </c>
      <c r="J61" s="204">
        <v>0</v>
      </c>
      <c r="K61" s="204">
        <v>0</v>
      </c>
      <c r="L61" s="204">
        <v>0</v>
      </c>
      <c r="M61" s="207">
        <v>6622462.8300000001</v>
      </c>
      <c r="N61" s="205">
        <v>49236320.13000001</v>
      </c>
      <c r="O61" s="204">
        <v>0</v>
      </c>
      <c r="P61" s="206">
        <v>110465086.06029722</v>
      </c>
      <c r="Q61" s="245">
        <v>9859.6699999999983</v>
      </c>
      <c r="S61" s="87">
        <f t="shared" si="7"/>
        <v>11919917.093518283</v>
      </c>
      <c r="T61" s="61">
        <f t="shared" si="8"/>
        <v>12177097.008322226</v>
      </c>
      <c r="Z61" s="49">
        <v>59</v>
      </c>
      <c r="AA61" s="51" t="s">
        <v>350</v>
      </c>
      <c r="AB61" s="95">
        <v>1355496.1901082553</v>
      </c>
      <c r="AC61" s="91"/>
      <c r="AD61" s="51">
        <v>59</v>
      </c>
      <c r="AE61" s="51" t="s">
        <v>350</v>
      </c>
      <c r="AF61" s="95">
        <v>1384359.4992470124</v>
      </c>
      <c r="AH61" s="95"/>
      <c r="AI61" s="232">
        <v>59</v>
      </c>
      <c r="AJ61" s="51" t="s">
        <v>350</v>
      </c>
      <c r="AK61" s="51">
        <v>29470</v>
      </c>
      <c r="AL61" s="241">
        <v>43112.044779624179</v>
      </c>
      <c r="AQ61" s="230"/>
    </row>
    <row r="62" spans="1:43" x14ac:dyDescent="0.2">
      <c r="A62" s="49">
        <v>62</v>
      </c>
      <c r="B62" s="203">
        <v>6426460.2876925943</v>
      </c>
      <c r="C62" s="204">
        <v>0</v>
      </c>
      <c r="D62" s="204">
        <v>0</v>
      </c>
      <c r="E62" s="204">
        <v>0</v>
      </c>
      <c r="F62" s="204">
        <v>0</v>
      </c>
      <c r="G62" s="205">
        <v>6426460.2876925943</v>
      </c>
      <c r="H62" s="206">
        <v>2051320.64</v>
      </c>
      <c r="I62" s="204">
        <v>1604432.14</v>
      </c>
      <c r="J62" s="204">
        <v>0</v>
      </c>
      <c r="K62" s="204">
        <v>0</v>
      </c>
      <c r="L62" s="204">
        <v>0</v>
      </c>
      <c r="M62" s="207">
        <v>1604432.14</v>
      </c>
      <c r="N62" s="205">
        <v>16601895.960000003</v>
      </c>
      <c r="O62" s="204">
        <v>0</v>
      </c>
      <c r="P62" s="206">
        <v>26684109.027692597</v>
      </c>
      <c r="Q62" s="245">
        <v>1857.45</v>
      </c>
      <c r="S62" s="87">
        <f t="shared" si="7"/>
        <v>2240883.2904110611</v>
      </c>
      <c r="T62" s="61">
        <f t="shared" si="8"/>
        <v>2323880.6539669614</v>
      </c>
      <c r="Z62" s="49">
        <v>60</v>
      </c>
      <c r="AA62" s="51" t="s">
        <v>351</v>
      </c>
      <c r="AB62" s="95">
        <v>11919917.093518283</v>
      </c>
      <c r="AC62" s="91"/>
      <c r="AD62" s="51">
        <v>60</v>
      </c>
      <c r="AE62" s="51" t="s">
        <v>351</v>
      </c>
      <c r="AF62" s="95">
        <v>12177097.008322226</v>
      </c>
      <c r="AH62" s="95"/>
      <c r="AI62" s="232">
        <v>60</v>
      </c>
      <c r="AJ62" s="51" t="s">
        <v>351</v>
      </c>
      <c r="AK62" s="51">
        <v>69797</v>
      </c>
      <c r="AL62" s="241">
        <v>54355.860297216786</v>
      </c>
      <c r="AQ62" s="230"/>
    </row>
    <row r="63" spans="1:43" x14ac:dyDescent="0.2">
      <c r="A63" s="49">
        <v>63</v>
      </c>
      <c r="B63" s="203">
        <v>13242314.44702111</v>
      </c>
      <c r="C63" s="204">
        <v>0</v>
      </c>
      <c r="D63" s="204">
        <v>0</v>
      </c>
      <c r="E63" s="204">
        <v>0</v>
      </c>
      <c r="F63" s="204">
        <v>0</v>
      </c>
      <c r="G63" s="205">
        <v>13242314.44702111</v>
      </c>
      <c r="H63" s="206">
        <v>3204926.56</v>
      </c>
      <c r="I63" s="204">
        <v>1393152.3099999998</v>
      </c>
      <c r="J63" s="204">
        <v>0</v>
      </c>
      <c r="K63" s="204">
        <v>0</v>
      </c>
      <c r="L63" s="204">
        <v>0</v>
      </c>
      <c r="M63" s="207">
        <v>1393152.3099999998</v>
      </c>
      <c r="N63" s="205">
        <v>14236832.080000002</v>
      </c>
      <c r="O63" s="204">
        <v>0</v>
      </c>
      <c r="P63" s="206">
        <v>32077225.397021111</v>
      </c>
      <c r="Q63" s="245">
        <v>3218.54</v>
      </c>
      <c r="S63" s="87">
        <f t="shared" si="7"/>
        <v>3471436.5293090725</v>
      </c>
      <c r="T63" s="61">
        <f t="shared" si="8"/>
        <v>3674383.5350258681</v>
      </c>
      <c r="Z63" s="49">
        <v>62</v>
      </c>
      <c r="AA63" s="51" t="s">
        <v>352</v>
      </c>
      <c r="AB63" s="95">
        <v>2240883.2904110611</v>
      </c>
      <c r="AC63" s="91"/>
      <c r="AD63" s="51">
        <v>62</v>
      </c>
      <c r="AE63" s="51" t="s">
        <v>352</v>
      </c>
      <c r="AF63" s="95">
        <v>2323880.6539669614</v>
      </c>
      <c r="AH63" s="95"/>
      <c r="AI63" s="232">
        <v>62</v>
      </c>
      <c r="AJ63" s="51" t="s">
        <v>352</v>
      </c>
      <c r="AK63" s="51">
        <v>14511</v>
      </c>
      <c r="AL63" s="241">
        <v>45600.217692597202</v>
      </c>
    </row>
    <row r="64" spans="1:43" x14ac:dyDescent="0.2">
      <c r="A64" s="49">
        <v>65</v>
      </c>
      <c r="B64" s="203">
        <v>7675531.3900000006</v>
      </c>
      <c r="C64" s="204">
        <v>75000</v>
      </c>
      <c r="D64" s="204">
        <v>0</v>
      </c>
      <c r="E64" s="204">
        <v>0</v>
      </c>
      <c r="F64" s="204">
        <v>152842</v>
      </c>
      <c r="G64" s="205">
        <v>7597689.3900000006</v>
      </c>
      <c r="H64" s="206">
        <v>1674123.34</v>
      </c>
      <c r="I64" s="204">
        <v>2200415.44</v>
      </c>
      <c r="J64" s="204">
        <v>0</v>
      </c>
      <c r="K64" s="204">
        <v>0</v>
      </c>
      <c r="L64" s="204">
        <v>0</v>
      </c>
      <c r="M64" s="207">
        <v>2200415.44</v>
      </c>
      <c r="N64" s="205">
        <v>8557806.290000001</v>
      </c>
      <c r="O64" s="204">
        <v>3300</v>
      </c>
      <c r="P64" s="206">
        <v>20030034.460000001</v>
      </c>
      <c r="Q64" s="245">
        <v>1609.51</v>
      </c>
      <c r="S64" s="87">
        <f t="shared" si="7"/>
        <v>1815717.7082351958</v>
      </c>
      <c r="T64" s="61">
        <f t="shared" si="8"/>
        <v>1917601.2357096863</v>
      </c>
      <c r="Z64" s="49">
        <v>63</v>
      </c>
      <c r="AA64" s="51" t="s">
        <v>353</v>
      </c>
      <c r="AB64" s="95">
        <v>3471436.5293090725</v>
      </c>
      <c r="AC64" s="91"/>
      <c r="AD64" s="51">
        <v>63</v>
      </c>
      <c r="AE64" s="51" t="s">
        <v>353</v>
      </c>
      <c r="AF64" s="95">
        <v>3674383.5350258681</v>
      </c>
      <c r="AH64" s="95"/>
      <c r="AI64" s="232">
        <v>63</v>
      </c>
      <c r="AJ64" s="51" t="s">
        <v>353</v>
      </c>
      <c r="AK64" s="51">
        <v>47770</v>
      </c>
      <c r="AL64" s="241">
        <v>65432.667021111411</v>
      </c>
    </row>
    <row r="65" spans="1:43" x14ac:dyDescent="0.2">
      <c r="A65" s="49">
        <v>66</v>
      </c>
      <c r="B65" s="203">
        <v>2724830.2046193639</v>
      </c>
      <c r="C65" s="204">
        <v>0</v>
      </c>
      <c r="D65" s="204">
        <v>0</v>
      </c>
      <c r="E65" s="204">
        <v>0</v>
      </c>
      <c r="F65" s="204">
        <v>7859</v>
      </c>
      <c r="G65" s="205">
        <v>2716971.2046193639</v>
      </c>
      <c r="H65" s="206">
        <v>1397845.54</v>
      </c>
      <c r="I65" s="204">
        <v>1484226.2999999998</v>
      </c>
      <c r="J65" s="204">
        <v>0</v>
      </c>
      <c r="K65" s="204">
        <v>0</v>
      </c>
      <c r="L65" s="204">
        <v>0</v>
      </c>
      <c r="M65" s="207">
        <v>1484226.2999999998</v>
      </c>
      <c r="N65" s="205">
        <v>12006009.150000002</v>
      </c>
      <c r="O65" s="204">
        <v>0</v>
      </c>
      <c r="P65" s="206">
        <v>17605052.194619365</v>
      </c>
      <c r="Q65" s="245">
        <v>1308.73</v>
      </c>
      <c r="S65" s="87">
        <f t="shared" si="7"/>
        <v>1449877.5561303815</v>
      </c>
      <c r="T65" s="61">
        <f t="shared" si="8"/>
        <v>1516964.5871504287</v>
      </c>
      <c r="Z65" s="49">
        <v>65</v>
      </c>
      <c r="AA65" s="51" t="s">
        <v>354</v>
      </c>
      <c r="AB65" s="95">
        <v>1815717.7082351958</v>
      </c>
      <c r="AC65" s="91"/>
      <c r="AD65" s="51">
        <v>65</v>
      </c>
      <c r="AE65" s="51" t="s">
        <v>354</v>
      </c>
      <c r="AF65" s="95">
        <v>1917601.2357096863</v>
      </c>
      <c r="AH65" s="95"/>
      <c r="AI65" s="232">
        <v>65</v>
      </c>
      <c r="AJ65" s="51" t="s">
        <v>354</v>
      </c>
      <c r="AK65" s="51">
        <v>39349</v>
      </c>
      <c r="AL65" s="241">
        <v>0</v>
      </c>
      <c r="AQ65" s="230"/>
    </row>
    <row r="66" spans="1:43" x14ac:dyDescent="0.2">
      <c r="A66" s="49">
        <v>67</v>
      </c>
      <c r="B66" s="203">
        <v>13376194.111599477</v>
      </c>
      <c r="C66" s="204">
        <v>169649</v>
      </c>
      <c r="D66" s="204">
        <v>164094</v>
      </c>
      <c r="E66" s="204">
        <v>0</v>
      </c>
      <c r="F66" s="204">
        <v>393139</v>
      </c>
      <c r="G66" s="205">
        <v>12988610.111599477</v>
      </c>
      <c r="H66" s="206">
        <v>2270761.46</v>
      </c>
      <c r="I66" s="204">
        <v>2849073.17</v>
      </c>
      <c r="J66" s="204">
        <v>0</v>
      </c>
      <c r="K66" s="204">
        <v>0</v>
      </c>
      <c r="L66" s="204">
        <v>0</v>
      </c>
      <c r="M66" s="207">
        <v>2849073.17</v>
      </c>
      <c r="N66" s="205">
        <v>5129217.0599999987</v>
      </c>
      <c r="O66" s="204">
        <v>0</v>
      </c>
      <c r="P66" s="206">
        <v>23237661.801599476</v>
      </c>
      <c r="Q66" s="245">
        <v>2047.4999999999998</v>
      </c>
      <c r="S66" s="87">
        <f t="shared" si="7"/>
        <v>2360433.0207057549</v>
      </c>
      <c r="T66" s="61">
        <f t="shared" si="8"/>
        <v>2489401.8984421482</v>
      </c>
      <c r="Z66" s="49">
        <v>66</v>
      </c>
      <c r="AA66" s="51" t="s">
        <v>355</v>
      </c>
      <c r="AB66" s="95">
        <v>1449877.5561303815</v>
      </c>
      <c r="AC66" s="91"/>
      <c r="AD66" s="51">
        <v>66</v>
      </c>
      <c r="AE66" s="51" t="s">
        <v>355</v>
      </c>
      <c r="AF66" s="95">
        <v>1516964.5871504287</v>
      </c>
      <c r="AH66" s="95"/>
      <c r="AI66" s="232">
        <v>66</v>
      </c>
      <c r="AJ66" s="51" t="s">
        <v>355</v>
      </c>
      <c r="AK66" s="51">
        <v>0</v>
      </c>
      <c r="AL66" s="241">
        <v>25707.764619364094</v>
      </c>
    </row>
    <row r="67" spans="1:43" x14ac:dyDescent="0.2">
      <c r="A67" s="49">
        <v>68</v>
      </c>
      <c r="B67" s="203">
        <v>22437458.918787807</v>
      </c>
      <c r="C67" s="204">
        <v>532625.15</v>
      </c>
      <c r="D67" s="204">
        <v>0</v>
      </c>
      <c r="E67" s="204">
        <v>0</v>
      </c>
      <c r="F67" s="204">
        <v>0</v>
      </c>
      <c r="G67" s="205">
        <v>22970084.068787806</v>
      </c>
      <c r="H67" s="206">
        <v>5210358.58</v>
      </c>
      <c r="I67" s="204">
        <v>5616626.830000001</v>
      </c>
      <c r="J67" s="204">
        <v>0</v>
      </c>
      <c r="K67" s="204">
        <v>0</v>
      </c>
      <c r="L67" s="204">
        <v>0</v>
      </c>
      <c r="M67" s="207">
        <v>5616626.830000001</v>
      </c>
      <c r="N67" s="205">
        <v>20267281.63000001</v>
      </c>
      <c r="O67" s="204">
        <v>693239.09</v>
      </c>
      <c r="P67" s="206">
        <v>54064351.108787812</v>
      </c>
      <c r="Q67" s="245">
        <v>5029.3999999999996</v>
      </c>
      <c r="S67" s="87">
        <f t="shared" si="7"/>
        <v>5558613.0236269562</v>
      </c>
      <c r="T67" s="61">
        <f t="shared" si="8"/>
        <v>5932431.8758492889</v>
      </c>
      <c r="Z67" s="49">
        <v>67</v>
      </c>
      <c r="AA67" s="51" t="s">
        <v>356</v>
      </c>
      <c r="AB67" s="95">
        <v>2360433.0207057549</v>
      </c>
      <c r="AC67" s="91"/>
      <c r="AD67" s="51">
        <v>67</v>
      </c>
      <c r="AE67" s="51" t="s">
        <v>356</v>
      </c>
      <c r="AF67" s="95">
        <v>2489401.8984421482</v>
      </c>
      <c r="AH67" s="95"/>
      <c r="AI67" s="232">
        <v>67</v>
      </c>
      <c r="AJ67" s="51" t="s">
        <v>356</v>
      </c>
      <c r="AK67" s="51">
        <v>61099</v>
      </c>
      <c r="AL67" s="241">
        <v>61460.431599476688</v>
      </c>
      <c r="AQ67" s="230"/>
    </row>
    <row r="68" spans="1:43" x14ac:dyDescent="0.2">
      <c r="A68" s="49">
        <v>69</v>
      </c>
      <c r="B68" s="203">
        <v>18048863.608198516</v>
      </c>
      <c r="C68" s="204">
        <v>0</v>
      </c>
      <c r="D68" s="204">
        <v>0</v>
      </c>
      <c r="E68" s="204">
        <v>0</v>
      </c>
      <c r="F68" s="204">
        <v>0</v>
      </c>
      <c r="G68" s="205">
        <v>18048863.608198516</v>
      </c>
      <c r="H68" s="206">
        <v>3747866.12</v>
      </c>
      <c r="I68" s="204">
        <v>2990236.8299999996</v>
      </c>
      <c r="J68" s="204">
        <v>0</v>
      </c>
      <c r="K68" s="204">
        <v>0</v>
      </c>
      <c r="L68" s="204">
        <v>20485.95</v>
      </c>
      <c r="M68" s="207">
        <v>2969750.8799999994</v>
      </c>
      <c r="N68" s="205">
        <v>10536681.920000002</v>
      </c>
      <c r="O68" s="204">
        <v>892621.21</v>
      </c>
      <c r="P68" s="206">
        <v>35303162.528198518</v>
      </c>
      <c r="Q68" s="245">
        <v>3364.1099999999997</v>
      </c>
      <c r="S68" s="87">
        <f t="shared" si="7"/>
        <v>3714131.4705088264</v>
      </c>
      <c r="T68" s="61">
        <f t="shared" si="8"/>
        <v>3864356.7815257972</v>
      </c>
      <c r="Z68" s="49">
        <v>68</v>
      </c>
      <c r="AA68" s="51" t="s">
        <v>357</v>
      </c>
      <c r="AB68" s="95">
        <v>5558613.0236269562</v>
      </c>
      <c r="AC68" s="91"/>
      <c r="AD68" s="51">
        <v>68</v>
      </c>
      <c r="AE68" s="51" t="s">
        <v>357</v>
      </c>
      <c r="AF68" s="95">
        <v>5932431.8758492889</v>
      </c>
      <c r="AH68" s="95"/>
      <c r="AI68" s="232">
        <v>68</v>
      </c>
      <c r="AJ68" s="51" t="s">
        <v>357</v>
      </c>
      <c r="AK68" s="51">
        <v>13886</v>
      </c>
      <c r="AL68" s="241">
        <v>209831.24878781135</v>
      </c>
    </row>
    <row r="69" spans="1:43" x14ac:dyDescent="0.2">
      <c r="A69" s="49">
        <v>70</v>
      </c>
      <c r="B69" s="203">
        <v>16202435.75</v>
      </c>
      <c r="C69" s="204">
        <v>0</v>
      </c>
      <c r="D69" s="204">
        <v>0</v>
      </c>
      <c r="E69" s="204">
        <v>116585.35</v>
      </c>
      <c r="F69" s="204">
        <v>0</v>
      </c>
      <c r="G69" s="205">
        <v>16085850.4</v>
      </c>
      <c r="H69" s="206">
        <v>2701565.52</v>
      </c>
      <c r="I69" s="204">
        <v>2511670.5299999993</v>
      </c>
      <c r="J69" s="204">
        <v>0</v>
      </c>
      <c r="K69" s="204">
        <v>0</v>
      </c>
      <c r="L69" s="204">
        <v>0</v>
      </c>
      <c r="M69" s="207">
        <v>2511670.5299999993</v>
      </c>
      <c r="N69" s="205">
        <v>6734950.9699999988</v>
      </c>
      <c r="O69" s="204">
        <v>0</v>
      </c>
      <c r="P69" s="206">
        <v>28034037.420000002</v>
      </c>
      <c r="Q69" s="245">
        <v>2646.37</v>
      </c>
      <c r="S69" s="87">
        <f t="shared" si="7"/>
        <v>2660655.6516713761</v>
      </c>
      <c r="T69" s="61">
        <f t="shared" si="8"/>
        <v>2750850.2277836353</v>
      </c>
      <c r="Z69" s="49">
        <v>69</v>
      </c>
      <c r="AA69" s="51" t="s">
        <v>358</v>
      </c>
      <c r="AB69" s="95">
        <v>3714131.4705088264</v>
      </c>
      <c r="AC69" s="91"/>
      <c r="AD69" s="51">
        <v>69</v>
      </c>
      <c r="AE69" s="51" t="s">
        <v>358</v>
      </c>
      <c r="AF69" s="95">
        <v>3864356.7815257972</v>
      </c>
      <c r="AH69" s="95"/>
      <c r="AI69" s="232">
        <v>69</v>
      </c>
      <c r="AJ69" s="51" t="s">
        <v>358</v>
      </c>
      <c r="AK69" s="51">
        <v>0</v>
      </c>
      <c r="AL69" s="241">
        <v>37489.948198516424</v>
      </c>
    </row>
    <row r="70" spans="1:43" x14ac:dyDescent="0.2">
      <c r="A70" s="49">
        <v>71</v>
      </c>
      <c r="B70" s="203">
        <v>53532720.736063376</v>
      </c>
      <c r="C70" s="204">
        <v>1828927.46</v>
      </c>
      <c r="D70" s="204">
        <v>2279188.15</v>
      </c>
      <c r="E70" s="204">
        <v>405749.56</v>
      </c>
      <c r="F70" s="204">
        <v>0</v>
      </c>
      <c r="G70" s="205">
        <v>52676710.486063376</v>
      </c>
      <c r="H70" s="206">
        <v>10120979.119999999</v>
      </c>
      <c r="I70" s="204">
        <v>8290244.9399999995</v>
      </c>
      <c r="J70" s="204">
        <v>0</v>
      </c>
      <c r="K70" s="204">
        <v>0</v>
      </c>
      <c r="L70" s="204">
        <v>0</v>
      </c>
      <c r="M70" s="207">
        <v>8290244.9399999995</v>
      </c>
      <c r="N70" s="205">
        <v>19051307.13000001</v>
      </c>
      <c r="O70" s="204">
        <v>11000</v>
      </c>
      <c r="P70" s="206">
        <v>90139241.676063389</v>
      </c>
      <c r="Q70" s="245">
        <v>8895.69</v>
      </c>
      <c r="S70" s="87">
        <f t="shared" si="7"/>
        <v>10104199.385283088</v>
      </c>
      <c r="T70" s="61">
        <f t="shared" si="8"/>
        <v>10360125.165560521</v>
      </c>
      <c r="Z70" s="49">
        <v>70</v>
      </c>
      <c r="AA70" s="51" t="s">
        <v>359</v>
      </c>
      <c r="AB70" s="95">
        <v>2660655.6516713761</v>
      </c>
      <c r="AC70" s="91"/>
      <c r="AD70" s="51">
        <v>70</v>
      </c>
      <c r="AE70" s="51" t="s">
        <v>359</v>
      </c>
      <c r="AF70" s="95">
        <v>2750850.2277836353</v>
      </c>
      <c r="AH70" s="95"/>
      <c r="AI70" s="232">
        <v>70</v>
      </c>
      <c r="AJ70" s="51" t="s">
        <v>359</v>
      </c>
      <c r="AK70" s="51">
        <v>27166</v>
      </c>
      <c r="AL70" s="241">
        <v>0</v>
      </c>
    </row>
    <row r="71" spans="1:43" x14ac:dyDescent="0.2">
      <c r="A71" s="49">
        <v>72</v>
      </c>
      <c r="B71" s="203">
        <v>17899789.427190367</v>
      </c>
      <c r="C71" s="204">
        <v>0</v>
      </c>
      <c r="D71" s="204">
        <v>0</v>
      </c>
      <c r="E71" s="204">
        <v>0</v>
      </c>
      <c r="F71" s="204">
        <v>0</v>
      </c>
      <c r="G71" s="205">
        <v>17899789.427190367</v>
      </c>
      <c r="H71" s="206">
        <v>4338488.54</v>
      </c>
      <c r="I71" s="204">
        <v>1692291.25</v>
      </c>
      <c r="J71" s="204">
        <v>0</v>
      </c>
      <c r="K71" s="204">
        <v>0</v>
      </c>
      <c r="L71" s="204">
        <v>0</v>
      </c>
      <c r="M71" s="207">
        <v>1692291.25</v>
      </c>
      <c r="N71" s="205">
        <v>23171438.069999997</v>
      </c>
      <c r="O71" s="204">
        <v>2850</v>
      </c>
      <c r="P71" s="206">
        <v>47102007.287190363</v>
      </c>
      <c r="Q71" s="245">
        <v>4269.6799999999994</v>
      </c>
      <c r="S71" s="87">
        <f t="shared" si="7"/>
        <v>4469182.398685839</v>
      </c>
      <c r="T71" s="61">
        <f t="shared" si="8"/>
        <v>4693843.9271344012</v>
      </c>
      <c r="Z71" s="49">
        <v>71</v>
      </c>
      <c r="AA71" s="51" t="s">
        <v>360</v>
      </c>
      <c r="AB71" s="95">
        <v>10104199.385283088</v>
      </c>
      <c r="AC71" s="91"/>
      <c r="AD71" s="51">
        <v>71</v>
      </c>
      <c r="AE71" s="51" t="s">
        <v>360</v>
      </c>
      <c r="AF71" s="95">
        <v>10360125.165560521</v>
      </c>
      <c r="AH71" s="95"/>
      <c r="AI71" s="232">
        <v>71</v>
      </c>
      <c r="AJ71" s="51" t="s">
        <v>360</v>
      </c>
      <c r="AK71" s="51">
        <v>103981</v>
      </c>
      <c r="AL71" s="241">
        <v>166848.25606338363</v>
      </c>
      <c r="AQ71" s="230"/>
    </row>
    <row r="72" spans="1:43" x14ac:dyDescent="0.2">
      <c r="A72" s="49">
        <v>73</v>
      </c>
      <c r="B72" s="203">
        <v>11252979.737290595</v>
      </c>
      <c r="C72" s="204">
        <v>0</v>
      </c>
      <c r="D72" s="204">
        <v>0</v>
      </c>
      <c r="E72" s="204">
        <v>0</v>
      </c>
      <c r="F72" s="204">
        <v>0</v>
      </c>
      <c r="G72" s="205">
        <v>11252979.737290595</v>
      </c>
      <c r="H72" s="206">
        <v>2776323.52</v>
      </c>
      <c r="I72" s="204">
        <v>2712510.8200000003</v>
      </c>
      <c r="J72" s="204">
        <v>0</v>
      </c>
      <c r="K72" s="204">
        <v>0</v>
      </c>
      <c r="L72" s="204">
        <v>0</v>
      </c>
      <c r="M72" s="207">
        <v>2712510.8200000003</v>
      </c>
      <c r="N72" s="205">
        <v>8352943.4600000009</v>
      </c>
      <c r="O72" s="204">
        <v>0</v>
      </c>
      <c r="P72" s="206">
        <v>25094757.537290595</v>
      </c>
      <c r="Q72" s="245">
        <v>2043.24</v>
      </c>
      <c r="S72" s="87">
        <f t="shared" si="7"/>
        <v>2882676.5793615216</v>
      </c>
      <c r="T72" s="61">
        <f t="shared" si="8"/>
        <v>2987846.5551003795</v>
      </c>
      <c r="Z72" s="49">
        <v>72</v>
      </c>
      <c r="AA72" s="51" t="s">
        <v>361</v>
      </c>
      <c r="AB72" s="95">
        <v>4469182.398685839</v>
      </c>
      <c r="AC72" s="91"/>
      <c r="AD72" s="51">
        <v>72</v>
      </c>
      <c r="AE72" s="51" t="s">
        <v>361</v>
      </c>
      <c r="AF72" s="95">
        <v>4693843.9271344012</v>
      </c>
      <c r="AH72" s="95"/>
      <c r="AI72" s="232">
        <v>72</v>
      </c>
      <c r="AJ72" s="51" t="s">
        <v>361</v>
      </c>
      <c r="AK72" s="51">
        <v>97825</v>
      </c>
      <c r="AL72" s="241">
        <v>71021.557190367384</v>
      </c>
      <c r="AQ72" s="230"/>
    </row>
    <row r="73" spans="1:43" x14ac:dyDescent="0.2">
      <c r="A73" s="49">
        <v>74</v>
      </c>
      <c r="B73" s="203">
        <v>34247756.64382679</v>
      </c>
      <c r="C73" s="204">
        <v>0</v>
      </c>
      <c r="D73" s="204">
        <v>0</v>
      </c>
      <c r="E73" s="204">
        <v>0</v>
      </c>
      <c r="F73" s="204">
        <v>350000</v>
      </c>
      <c r="G73" s="205">
        <v>33897756.64382679</v>
      </c>
      <c r="H73" s="206">
        <v>5717388.2199999997</v>
      </c>
      <c r="I73" s="204">
        <v>9399971.5399999991</v>
      </c>
      <c r="J73" s="204">
        <v>0</v>
      </c>
      <c r="K73" s="204">
        <v>0</v>
      </c>
      <c r="L73" s="204">
        <v>0</v>
      </c>
      <c r="M73" s="207">
        <v>9399971.5399999991</v>
      </c>
      <c r="N73" s="205">
        <v>18268390.650000006</v>
      </c>
      <c r="O73" s="204">
        <v>38095.19</v>
      </c>
      <c r="P73" s="206">
        <v>67283507.053826794</v>
      </c>
      <c r="Q73" s="245">
        <v>6320.65</v>
      </c>
      <c r="S73" s="87">
        <f t="shared" si="7"/>
        <v>6127597.83021749</v>
      </c>
      <c r="T73" s="61">
        <f t="shared" si="8"/>
        <v>6464733.1506956276</v>
      </c>
      <c r="Z73" s="49">
        <v>73</v>
      </c>
      <c r="AA73" s="51" t="s">
        <v>362</v>
      </c>
      <c r="AB73" s="95">
        <v>2882676.5793615216</v>
      </c>
      <c r="AC73" s="91"/>
      <c r="AD73" s="51">
        <v>73</v>
      </c>
      <c r="AE73" s="51" t="s">
        <v>362</v>
      </c>
      <c r="AF73" s="95">
        <v>2987846.5551003795</v>
      </c>
      <c r="AH73" s="95"/>
      <c r="AI73" s="232">
        <v>73</v>
      </c>
      <c r="AJ73" s="51" t="s">
        <v>362</v>
      </c>
      <c r="AK73" s="51">
        <v>51937</v>
      </c>
      <c r="AL73" s="241">
        <v>38509.247290595944</v>
      </c>
    </row>
    <row r="74" spans="1:43" x14ac:dyDescent="0.2">
      <c r="A74" s="49">
        <v>75</v>
      </c>
      <c r="B74" s="203">
        <v>423856892.22291839</v>
      </c>
      <c r="C74" s="204">
        <v>0</v>
      </c>
      <c r="D74" s="204">
        <v>0</v>
      </c>
      <c r="E74" s="204">
        <v>0</v>
      </c>
      <c r="F74" s="204">
        <v>324255.01</v>
      </c>
      <c r="G74" s="205">
        <v>423532637.2129184</v>
      </c>
      <c r="H74" s="206">
        <v>85089212.200000003</v>
      </c>
      <c r="I74" s="204">
        <v>66454908.729999989</v>
      </c>
      <c r="J74" s="204">
        <v>0</v>
      </c>
      <c r="K74" s="204">
        <v>0</v>
      </c>
      <c r="L74" s="204">
        <v>0</v>
      </c>
      <c r="M74" s="207">
        <v>66454908.729999989</v>
      </c>
      <c r="N74" s="205">
        <v>479152055.84000003</v>
      </c>
      <c r="O74" s="204">
        <v>815270.01</v>
      </c>
      <c r="P74" s="206">
        <v>1054228813.9829184</v>
      </c>
      <c r="Q74" s="245">
        <v>90473.65</v>
      </c>
      <c r="S74" s="87">
        <f t="shared" si="7"/>
        <v>93493282.311365932</v>
      </c>
      <c r="T74" s="61">
        <f t="shared" si="8"/>
        <v>98071337.351547867</v>
      </c>
      <c r="Z74" s="49">
        <v>74</v>
      </c>
      <c r="AA74" s="51" t="s">
        <v>363</v>
      </c>
      <c r="AB74" s="95">
        <v>6127597.83021749</v>
      </c>
      <c r="AC74" s="91"/>
      <c r="AD74" s="51">
        <v>74</v>
      </c>
      <c r="AE74" s="51" t="s">
        <v>363</v>
      </c>
      <c r="AF74" s="95">
        <v>6464733.1506956276</v>
      </c>
      <c r="AH74" s="95"/>
      <c r="AI74" s="232">
        <v>74</v>
      </c>
      <c r="AJ74" s="51" t="s">
        <v>363</v>
      </c>
      <c r="AK74" s="51">
        <v>17105</v>
      </c>
      <c r="AL74" s="241">
        <v>81599.003826791857</v>
      </c>
    </row>
    <row r="75" spans="1:43" x14ac:dyDescent="0.2">
      <c r="A75" s="49">
        <v>77</v>
      </c>
      <c r="B75" s="203">
        <v>22464984.024014939</v>
      </c>
      <c r="C75" s="204">
        <v>0</v>
      </c>
      <c r="D75" s="204">
        <v>0</v>
      </c>
      <c r="E75" s="204">
        <v>0</v>
      </c>
      <c r="F75" s="204">
        <v>453824.72</v>
      </c>
      <c r="G75" s="205">
        <v>22011159.30401494</v>
      </c>
      <c r="H75" s="206">
        <v>4788553.54</v>
      </c>
      <c r="I75" s="204">
        <v>4644709.46</v>
      </c>
      <c r="J75" s="204">
        <v>0</v>
      </c>
      <c r="K75" s="204">
        <v>0</v>
      </c>
      <c r="L75" s="204">
        <v>0</v>
      </c>
      <c r="M75" s="207">
        <v>4644709.46</v>
      </c>
      <c r="N75" s="205">
        <v>15293083.899999995</v>
      </c>
      <c r="O75" s="204">
        <v>0</v>
      </c>
      <c r="P75" s="206">
        <v>46737506.204014935</v>
      </c>
      <c r="Q75" s="245">
        <v>4150.3099999999995</v>
      </c>
      <c r="S75" s="87">
        <f t="shared" si="7"/>
        <v>4847606.7329269368</v>
      </c>
      <c r="T75" s="61">
        <f t="shared" si="8"/>
        <v>5023005.4928521011</v>
      </c>
      <c r="Z75" s="49">
        <v>75</v>
      </c>
      <c r="AA75" s="51" t="s">
        <v>364</v>
      </c>
      <c r="AB75" s="95">
        <v>93493282.311365932</v>
      </c>
      <c r="AC75" s="91"/>
      <c r="AD75" s="51">
        <v>75</v>
      </c>
      <c r="AE75" s="51" t="s">
        <v>364</v>
      </c>
      <c r="AF75" s="95">
        <v>98071337.351547867</v>
      </c>
      <c r="AH75" s="95"/>
      <c r="AI75" s="232">
        <v>75</v>
      </c>
      <c r="AJ75" s="51" t="s">
        <v>364</v>
      </c>
      <c r="AK75" s="51">
        <v>294696</v>
      </c>
      <c r="AL75" s="241">
        <v>504541.21291842929</v>
      </c>
      <c r="AQ75" s="230"/>
    </row>
    <row r="76" spans="1:43" x14ac:dyDescent="0.2">
      <c r="A76" s="49">
        <v>78</v>
      </c>
      <c r="B76" s="203">
        <v>1900671.04979248</v>
      </c>
      <c r="C76" s="204">
        <v>0</v>
      </c>
      <c r="D76" s="204">
        <v>0</v>
      </c>
      <c r="E76" s="204">
        <v>0</v>
      </c>
      <c r="F76" s="204">
        <v>0</v>
      </c>
      <c r="G76" s="205">
        <v>1900671.04979248</v>
      </c>
      <c r="H76" s="206">
        <v>1048285.9</v>
      </c>
      <c r="I76" s="204">
        <v>598433.30000000005</v>
      </c>
      <c r="J76" s="204">
        <v>0</v>
      </c>
      <c r="K76" s="204">
        <v>0</v>
      </c>
      <c r="L76" s="204">
        <v>0</v>
      </c>
      <c r="M76" s="207">
        <v>598433.30000000005</v>
      </c>
      <c r="N76" s="205">
        <v>8644076.8000000007</v>
      </c>
      <c r="O76" s="204">
        <v>0</v>
      </c>
      <c r="P76" s="206">
        <v>12191467.049792482</v>
      </c>
      <c r="Q76" s="245">
        <v>846.3</v>
      </c>
      <c r="S76" s="87">
        <f t="shared" si="7"/>
        <v>1048082.5979219002</v>
      </c>
      <c r="T76" s="61">
        <f t="shared" si="8"/>
        <v>1078709.4739377196</v>
      </c>
      <c r="Z76" s="49">
        <v>77</v>
      </c>
      <c r="AA76" s="51" t="s">
        <v>365</v>
      </c>
      <c r="AB76" s="95">
        <v>4847606.7329269368</v>
      </c>
      <c r="AC76" s="91"/>
      <c r="AD76" s="51">
        <v>77</v>
      </c>
      <c r="AE76" s="51" t="s">
        <v>365</v>
      </c>
      <c r="AF76" s="95">
        <v>5023005.4928521011</v>
      </c>
      <c r="AH76" s="95"/>
      <c r="AI76" s="232">
        <v>77</v>
      </c>
      <c r="AJ76" s="51" t="s">
        <v>365</v>
      </c>
      <c r="AK76" s="51">
        <v>236323</v>
      </c>
      <c r="AL76" s="241">
        <v>82029.194014936613</v>
      </c>
      <c r="AQ76" s="230"/>
    </row>
    <row r="77" spans="1:43" x14ac:dyDescent="0.2">
      <c r="A77" s="49">
        <v>79</v>
      </c>
      <c r="B77" s="203">
        <v>7667524.3785098204</v>
      </c>
      <c r="C77" s="204">
        <v>0</v>
      </c>
      <c r="D77" s="204">
        <v>0</v>
      </c>
      <c r="E77" s="204">
        <v>0</v>
      </c>
      <c r="F77" s="204">
        <v>133575</v>
      </c>
      <c r="G77" s="205">
        <v>7533949.3785098204</v>
      </c>
      <c r="H77" s="206">
        <v>1204666.6000000001</v>
      </c>
      <c r="I77" s="204">
        <v>1308669.08</v>
      </c>
      <c r="J77" s="204">
        <v>0</v>
      </c>
      <c r="K77" s="204">
        <v>0</v>
      </c>
      <c r="L77" s="204">
        <v>0</v>
      </c>
      <c r="M77" s="207">
        <v>1308669.08</v>
      </c>
      <c r="N77" s="205">
        <v>4519186.2000000011</v>
      </c>
      <c r="O77" s="204">
        <v>46000</v>
      </c>
      <c r="P77" s="206">
        <v>14566471.258509822</v>
      </c>
      <c r="Q77" s="245">
        <v>1312.62</v>
      </c>
      <c r="S77" s="87">
        <f t="shared" si="7"/>
        <v>1212575.8358461778</v>
      </c>
      <c r="T77" s="61">
        <f t="shared" si="8"/>
        <v>1290313.3376133838</v>
      </c>
      <c r="Z77" s="49">
        <v>78</v>
      </c>
      <c r="AA77" s="51" t="s">
        <v>366</v>
      </c>
      <c r="AB77" s="95">
        <v>1048082.5979219002</v>
      </c>
      <c r="AC77" s="91"/>
      <c r="AD77" s="51">
        <v>78</v>
      </c>
      <c r="AE77" s="51" t="s">
        <v>366</v>
      </c>
      <c r="AF77" s="95">
        <v>1078709.4739377196</v>
      </c>
      <c r="AH77" s="95"/>
      <c r="AI77" s="232">
        <v>78</v>
      </c>
      <c r="AJ77" s="51" t="s">
        <v>366</v>
      </c>
      <c r="AK77" s="51">
        <v>17223</v>
      </c>
      <c r="AL77" s="241">
        <v>11622.579792480206</v>
      </c>
    </row>
    <row r="78" spans="1:43" x14ac:dyDescent="0.2">
      <c r="A78" s="49">
        <v>80</v>
      </c>
      <c r="B78" s="203">
        <v>63997127.501081161</v>
      </c>
      <c r="C78" s="204">
        <v>90401.17</v>
      </c>
      <c r="D78" s="204">
        <v>122115.48</v>
      </c>
      <c r="E78" s="204">
        <v>818000</v>
      </c>
      <c r="F78" s="204">
        <v>0</v>
      </c>
      <c r="G78" s="205">
        <v>63147413.191081166</v>
      </c>
      <c r="H78" s="206">
        <v>15344341.460000001</v>
      </c>
      <c r="I78" s="204">
        <v>7824577.0099999988</v>
      </c>
      <c r="J78" s="204">
        <v>0</v>
      </c>
      <c r="K78" s="204">
        <v>0</v>
      </c>
      <c r="L78" s="204">
        <v>0</v>
      </c>
      <c r="M78" s="207">
        <v>7824577.0099999988</v>
      </c>
      <c r="N78" s="205">
        <v>67038886.779999986</v>
      </c>
      <c r="O78" s="204">
        <v>63259</v>
      </c>
      <c r="P78" s="206">
        <v>153355218.44108117</v>
      </c>
      <c r="Q78" s="245">
        <v>14098.300000000001</v>
      </c>
      <c r="S78" s="87">
        <f t="shared" si="7"/>
        <v>15529779.626326475</v>
      </c>
      <c r="T78" s="61">
        <f t="shared" si="8"/>
        <v>16238950.729278643</v>
      </c>
      <c r="Z78" s="49">
        <v>79</v>
      </c>
      <c r="AA78" s="51" t="s">
        <v>367</v>
      </c>
      <c r="AB78" s="95">
        <v>1212575.8358461778</v>
      </c>
      <c r="AC78" s="91"/>
      <c r="AD78" s="51">
        <v>79</v>
      </c>
      <c r="AE78" s="51" t="s">
        <v>367</v>
      </c>
      <c r="AF78" s="95">
        <v>1290313.3376133838</v>
      </c>
      <c r="AH78" s="95"/>
      <c r="AI78" s="232">
        <v>79</v>
      </c>
      <c r="AJ78" s="51" t="s">
        <v>367</v>
      </c>
      <c r="AK78" s="51">
        <v>59858</v>
      </c>
      <c r="AL78" s="241">
        <v>56469.518509821479</v>
      </c>
    </row>
    <row r="79" spans="1:43" x14ac:dyDescent="0.2">
      <c r="A79" s="49">
        <v>81</v>
      </c>
      <c r="B79" s="203">
        <v>11809495.199999997</v>
      </c>
      <c r="C79" s="204">
        <v>0</v>
      </c>
      <c r="D79" s="204">
        <v>0</v>
      </c>
      <c r="E79" s="204">
        <v>0</v>
      </c>
      <c r="F79" s="204">
        <v>0</v>
      </c>
      <c r="G79" s="205">
        <v>11809495.199999997</v>
      </c>
      <c r="H79" s="206">
        <v>3052034.06</v>
      </c>
      <c r="I79" s="204">
        <v>2546335.9099999997</v>
      </c>
      <c r="J79" s="204">
        <v>0</v>
      </c>
      <c r="K79" s="204">
        <v>0</v>
      </c>
      <c r="L79" s="204">
        <v>0</v>
      </c>
      <c r="M79" s="207">
        <v>2546335.9099999997</v>
      </c>
      <c r="N79" s="205">
        <v>14755746.860000003</v>
      </c>
      <c r="O79" s="204">
        <v>1480491</v>
      </c>
      <c r="P79" s="206">
        <v>32163612.030000001</v>
      </c>
      <c r="Q79" s="245">
        <v>2635.2399999999993</v>
      </c>
      <c r="S79" s="87">
        <f t="shared" si="7"/>
        <v>3105596.377204258</v>
      </c>
      <c r="T79" s="61">
        <f t="shared" si="8"/>
        <v>3214497.8046374237</v>
      </c>
      <c r="Z79" s="49">
        <v>80</v>
      </c>
      <c r="AA79" s="51" t="s">
        <v>368</v>
      </c>
      <c r="AB79" s="95">
        <v>15529779.626326475</v>
      </c>
      <c r="AC79" s="91"/>
      <c r="AD79" s="51">
        <v>80</v>
      </c>
      <c r="AE79" s="51" t="s">
        <v>368</v>
      </c>
      <c r="AF79" s="95">
        <v>16238950.729278643</v>
      </c>
      <c r="AH79" s="95"/>
      <c r="AI79" s="232">
        <v>80</v>
      </c>
      <c r="AJ79" s="51" t="s">
        <v>368</v>
      </c>
      <c r="AK79" s="51">
        <v>48944</v>
      </c>
      <c r="AL79" s="241">
        <v>90679.131081171072</v>
      </c>
    </row>
    <row r="80" spans="1:43" x14ac:dyDescent="0.2">
      <c r="A80" s="49">
        <v>82</v>
      </c>
      <c r="B80" s="203">
        <v>53240000.377637766</v>
      </c>
      <c r="C80" s="204">
        <v>0</v>
      </c>
      <c r="D80" s="204">
        <v>0</v>
      </c>
      <c r="E80" s="204">
        <v>0</v>
      </c>
      <c r="F80" s="204">
        <v>0</v>
      </c>
      <c r="G80" s="205">
        <v>53240000.377637766</v>
      </c>
      <c r="H80" s="206">
        <v>12929510.5</v>
      </c>
      <c r="I80" s="204">
        <v>8327237.1999999993</v>
      </c>
      <c r="J80" s="204">
        <v>0</v>
      </c>
      <c r="K80" s="204">
        <v>0</v>
      </c>
      <c r="L80" s="204">
        <v>0</v>
      </c>
      <c r="M80" s="207">
        <v>8327237.1999999993</v>
      </c>
      <c r="N80" s="205">
        <v>66113511.030000001</v>
      </c>
      <c r="O80" s="204">
        <v>346185.75</v>
      </c>
      <c r="P80" s="206">
        <v>140610259.10763776</v>
      </c>
      <c r="Q80" s="245">
        <v>11823.210000000001</v>
      </c>
      <c r="S80" s="87">
        <f t="shared" si="7"/>
        <v>13892937.078457024</v>
      </c>
      <c r="T80" s="61">
        <f t="shared" si="8"/>
        <v>14602547.516853506</v>
      </c>
      <c r="Z80" s="49">
        <v>81</v>
      </c>
      <c r="AA80" s="51" t="s">
        <v>369</v>
      </c>
      <c r="AB80" s="95">
        <v>3105596.377204258</v>
      </c>
      <c r="AC80" s="91"/>
      <c r="AD80" s="51">
        <v>81</v>
      </c>
      <c r="AE80" s="51" t="s">
        <v>369</v>
      </c>
      <c r="AF80" s="95">
        <v>3214497.8046374237</v>
      </c>
      <c r="AH80" s="95"/>
      <c r="AI80" s="232">
        <v>81</v>
      </c>
      <c r="AJ80" s="51" t="s">
        <v>369</v>
      </c>
      <c r="AK80" s="51">
        <v>18683</v>
      </c>
      <c r="AL80" s="241">
        <v>0</v>
      </c>
    </row>
    <row r="81" spans="1:43" x14ac:dyDescent="0.2">
      <c r="A81" s="49">
        <v>83</v>
      </c>
      <c r="B81" s="203">
        <v>24153842.317819748</v>
      </c>
      <c r="C81" s="204">
        <v>802600.56</v>
      </c>
      <c r="D81" s="204">
        <v>778442.66</v>
      </c>
      <c r="E81" s="204">
        <v>350000</v>
      </c>
      <c r="F81" s="204">
        <v>937977</v>
      </c>
      <c r="G81" s="205">
        <v>22890023.217819747</v>
      </c>
      <c r="H81" s="206">
        <v>4228088.3600000003</v>
      </c>
      <c r="I81" s="204">
        <v>5204235.26</v>
      </c>
      <c r="J81" s="204">
        <v>0</v>
      </c>
      <c r="K81" s="204">
        <v>0</v>
      </c>
      <c r="L81" s="204">
        <v>0</v>
      </c>
      <c r="M81" s="207">
        <v>5204235.26</v>
      </c>
      <c r="N81" s="205">
        <v>9106000.4999999925</v>
      </c>
      <c r="O81" s="204">
        <v>34056.959999999999</v>
      </c>
      <c r="P81" s="206">
        <v>41428347.33781974</v>
      </c>
      <c r="Q81" s="245">
        <v>3818.78</v>
      </c>
      <c r="S81" s="87">
        <f t="shared" si="7"/>
        <v>4234577.2888594102</v>
      </c>
      <c r="T81" s="61">
        <f t="shared" ref="T81:T112" si="9">VLOOKUP($A81,$AD$3:$AF$138,3,FALSE)</f>
        <v>4331766.2048449311</v>
      </c>
      <c r="Z81" s="49">
        <v>82</v>
      </c>
      <c r="AA81" s="51" t="s">
        <v>370</v>
      </c>
      <c r="AB81" s="95">
        <v>13892937.078457024</v>
      </c>
      <c r="AC81" s="91"/>
      <c r="AD81" s="51">
        <v>82</v>
      </c>
      <c r="AE81" s="51" t="s">
        <v>370</v>
      </c>
      <c r="AF81" s="95">
        <v>14602547.516853506</v>
      </c>
      <c r="AH81" s="95"/>
      <c r="AI81" s="232">
        <v>82</v>
      </c>
      <c r="AJ81" s="51" t="s">
        <v>370</v>
      </c>
      <c r="AK81" s="51">
        <v>0</v>
      </c>
      <c r="AL81" s="241">
        <v>88580.347637760511</v>
      </c>
    </row>
    <row r="82" spans="1:43" x14ac:dyDescent="0.2">
      <c r="A82" s="49">
        <v>84</v>
      </c>
      <c r="B82" s="203">
        <v>24862232.139297124</v>
      </c>
      <c r="C82" s="204">
        <v>0</v>
      </c>
      <c r="D82" s="204">
        <v>0</v>
      </c>
      <c r="E82" s="204">
        <v>0</v>
      </c>
      <c r="F82" s="204">
        <v>541541.06999999995</v>
      </c>
      <c r="G82" s="205">
        <v>24320691.069297124</v>
      </c>
      <c r="H82" s="206">
        <v>3138023.54</v>
      </c>
      <c r="I82" s="204">
        <v>4020517.8400000003</v>
      </c>
      <c r="J82" s="204">
        <v>0</v>
      </c>
      <c r="K82" s="204">
        <v>0</v>
      </c>
      <c r="L82" s="204">
        <v>0</v>
      </c>
      <c r="M82" s="207">
        <v>4020517.8400000003</v>
      </c>
      <c r="N82" s="205">
        <v>5953408.8699999973</v>
      </c>
      <c r="O82" s="204">
        <v>0</v>
      </c>
      <c r="P82" s="206">
        <v>37432641.31929712</v>
      </c>
      <c r="Q82" s="245">
        <v>3562.44</v>
      </c>
      <c r="S82" s="87">
        <f t="shared" si="7"/>
        <v>3413009.969390613</v>
      </c>
      <c r="T82" s="61">
        <f t="shared" si="9"/>
        <v>3487231.6733749467</v>
      </c>
      <c r="Z82" s="49">
        <v>83</v>
      </c>
      <c r="AA82" s="51" t="s">
        <v>371</v>
      </c>
      <c r="AB82" s="95">
        <v>4234577.2888594102</v>
      </c>
      <c r="AC82" s="91"/>
      <c r="AD82" s="51">
        <v>83</v>
      </c>
      <c r="AE82" s="51" t="s">
        <v>371</v>
      </c>
      <c r="AF82" s="95">
        <v>4331766.2048449311</v>
      </c>
      <c r="AH82" s="95"/>
      <c r="AI82" s="232">
        <v>83</v>
      </c>
      <c r="AJ82" s="51" t="s">
        <v>371</v>
      </c>
      <c r="AK82" s="51">
        <v>489714</v>
      </c>
      <c r="AL82" s="241">
        <v>37810.577819745326</v>
      </c>
      <c r="AQ82" s="230"/>
    </row>
    <row r="83" spans="1:43" x14ac:dyDescent="0.2">
      <c r="A83" s="49">
        <v>85</v>
      </c>
      <c r="B83" s="203">
        <v>29005593.527818792</v>
      </c>
      <c r="C83" s="204">
        <v>0</v>
      </c>
      <c r="D83" s="204">
        <v>0</v>
      </c>
      <c r="E83" s="204">
        <v>251246.02</v>
      </c>
      <c r="F83" s="204">
        <v>226371</v>
      </c>
      <c r="G83" s="205">
        <v>28527976.507818792</v>
      </c>
      <c r="H83" s="206">
        <v>6904077.1399999997</v>
      </c>
      <c r="I83" s="204">
        <v>4270973.95</v>
      </c>
      <c r="J83" s="204">
        <v>0</v>
      </c>
      <c r="K83" s="204">
        <v>0</v>
      </c>
      <c r="L83" s="204">
        <v>44337.53</v>
      </c>
      <c r="M83" s="207">
        <v>4226636.42</v>
      </c>
      <c r="N83" s="205">
        <v>27125098.140000001</v>
      </c>
      <c r="O83" s="204">
        <v>1491344.31</v>
      </c>
      <c r="P83" s="206">
        <v>66783788.207818791</v>
      </c>
      <c r="Q83" s="245">
        <v>6012.3</v>
      </c>
      <c r="S83" s="87">
        <f t="shared" si="7"/>
        <v>6938378.7078551864</v>
      </c>
      <c r="T83" s="61">
        <f t="shared" si="9"/>
        <v>7333719.6841903552</v>
      </c>
      <c r="Z83" s="49">
        <v>84</v>
      </c>
      <c r="AA83" s="51" t="s">
        <v>372</v>
      </c>
      <c r="AB83" s="95">
        <v>3413009.969390613</v>
      </c>
      <c r="AC83" s="91"/>
      <c r="AD83" s="51">
        <v>84</v>
      </c>
      <c r="AE83" s="51" t="s">
        <v>372</v>
      </c>
      <c r="AF83" s="95">
        <v>3487231.6733749467</v>
      </c>
      <c r="AH83" s="95"/>
      <c r="AI83" s="232">
        <v>84</v>
      </c>
      <c r="AJ83" s="51" t="s">
        <v>372</v>
      </c>
      <c r="AK83" s="51">
        <v>223023</v>
      </c>
      <c r="AL83" s="241">
        <v>43722.729297114936</v>
      </c>
      <c r="AQ83" s="230"/>
    </row>
    <row r="84" spans="1:43" x14ac:dyDescent="0.2">
      <c r="A84" s="49">
        <v>86</v>
      </c>
      <c r="B84" s="203">
        <v>26936017.519321285</v>
      </c>
      <c r="C84" s="204">
        <v>0</v>
      </c>
      <c r="D84" s="204">
        <v>0</v>
      </c>
      <c r="E84" s="204">
        <v>0</v>
      </c>
      <c r="F84" s="204">
        <v>0</v>
      </c>
      <c r="G84" s="205">
        <v>26936017.519321285</v>
      </c>
      <c r="H84" s="206">
        <v>4814834.42</v>
      </c>
      <c r="I84" s="204">
        <v>5276377.3499999996</v>
      </c>
      <c r="J84" s="204">
        <v>0</v>
      </c>
      <c r="K84" s="204">
        <v>0</v>
      </c>
      <c r="L84" s="204">
        <v>0</v>
      </c>
      <c r="M84" s="207">
        <v>5276377.3499999996</v>
      </c>
      <c r="N84" s="205">
        <v>10351405.919999994</v>
      </c>
      <c r="O84" s="204">
        <v>0</v>
      </c>
      <c r="P84" s="206">
        <v>47378635.209321283</v>
      </c>
      <c r="Q84" s="245">
        <v>4362.92</v>
      </c>
      <c r="S84" s="87">
        <f t="shared" si="7"/>
        <v>4882662.6688780114</v>
      </c>
      <c r="T84" s="61">
        <f t="shared" si="9"/>
        <v>5023005.4928521011</v>
      </c>
      <c r="Z84" s="49">
        <v>85</v>
      </c>
      <c r="AA84" s="51" t="s">
        <v>373</v>
      </c>
      <c r="AB84" s="95">
        <v>6938378.7078551864</v>
      </c>
      <c r="AC84" s="91"/>
      <c r="AD84" s="51">
        <v>85</v>
      </c>
      <c r="AE84" s="51" t="s">
        <v>373</v>
      </c>
      <c r="AF84" s="95">
        <v>7333719.6841903552</v>
      </c>
      <c r="AH84" s="95"/>
      <c r="AI84" s="232">
        <v>85</v>
      </c>
      <c r="AJ84" s="51" t="s">
        <v>373</v>
      </c>
      <c r="AK84" s="51">
        <v>14361</v>
      </c>
      <c r="AL84" s="241">
        <v>70304.147818791942</v>
      </c>
      <c r="AQ84" s="230"/>
    </row>
    <row r="85" spans="1:43" x14ac:dyDescent="0.2">
      <c r="A85" s="49">
        <v>87</v>
      </c>
      <c r="B85" s="203">
        <v>16304373.502366703</v>
      </c>
      <c r="C85" s="204">
        <v>0</v>
      </c>
      <c r="D85" s="204">
        <v>0</v>
      </c>
      <c r="E85" s="204">
        <v>51450</v>
      </c>
      <c r="F85" s="204">
        <v>0</v>
      </c>
      <c r="G85" s="205">
        <v>16252923.502366703</v>
      </c>
      <c r="H85" s="206">
        <v>2722513.9</v>
      </c>
      <c r="I85" s="204">
        <v>2656863.35</v>
      </c>
      <c r="J85" s="204">
        <v>0</v>
      </c>
      <c r="K85" s="204">
        <v>0</v>
      </c>
      <c r="L85" s="204">
        <v>0</v>
      </c>
      <c r="M85" s="207">
        <v>2656863.35</v>
      </c>
      <c r="N85" s="205">
        <v>9322140.1600000001</v>
      </c>
      <c r="O85" s="204">
        <v>0</v>
      </c>
      <c r="P85" s="206">
        <v>30954440.912366703</v>
      </c>
      <c r="Q85" s="245">
        <v>2812.85</v>
      </c>
      <c r="S85" s="87">
        <f t="shared" si="7"/>
        <v>2808969.2268490037</v>
      </c>
      <c r="T85" s="61">
        <f t="shared" si="9"/>
        <v>2936121.1662018835</v>
      </c>
      <c r="Z85" s="49">
        <v>86</v>
      </c>
      <c r="AA85" s="51" t="s">
        <v>374</v>
      </c>
      <c r="AB85" s="95">
        <v>4882662.6688780114</v>
      </c>
      <c r="AC85" s="91"/>
      <c r="AD85" s="51">
        <v>86</v>
      </c>
      <c r="AE85" s="51" t="s">
        <v>374</v>
      </c>
      <c r="AF85" s="95">
        <v>5023005.4928521011</v>
      </c>
      <c r="AH85" s="95"/>
      <c r="AI85" s="232">
        <v>86</v>
      </c>
      <c r="AJ85" s="51" t="s">
        <v>374</v>
      </c>
      <c r="AK85" s="51">
        <v>35346</v>
      </c>
      <c r="AL85" s="241">
        <v>138073.71932128293</v>
      </c>
    </row>
    <row r="86" spans="1:43" x14ac:dyDescent="0.2">
      <c r="A86" s="49">
        <v>88</v>
      </c>
      <c r="B86" s="203">
        <v>110668967.0003709</v>
      </c>
      <c r="C86" s="204">
        <v>0</v>
      </c>
      <c r="D86" s="204">
        <v>0</v>
      </c>
      <c r="E86" s="204">
        <v>0</v>
      </c>
      <c r="F86" s="204">
        <v>4288556.05</v>
      </c>
      <c r="G86" s="205">
        <v>106380410.95037091</v>
      </c>
      <c r="H86" s="206">
        <v>25591946.27</v>
      </c>
      <c r="I86" s="204">
        <v>15792021.93</v>
      </c>
      <c r="J86" s="204">
        <v>0</v>
      </c>
      <c r="K86" s="204">
        <v>0</v>
      </c>
      <c r="L86" s="204">
        <v>234897.2</v>
      </c>
      <c r="M86" s="207">
        <v>15557124.73</v>
      </c>
      <c r="N86" s="205">
        <v>111183691.94</v>
      </c>
      <c r="O86" s="204">
        <v>2241253.09</v>
      </c>
      <c r="P86" s="206">
        <v>258713173.89037091</v>
      </c>
      <c r="Q86" s="245">
        <v>23718.430000000004</v>
      </c>
      <c r="S86" s="87">
        <f t="shared" si="7"/>
        <v>25820045.133196041</v>
      </c>
      <c r="T86" s="61">
        <f t="shared" si="9"/>
        <v>27227304.254551806</v>
      </c>
      <c r="Z86" s="49">
        <v>87</v>
      </c>
      <c r="AA86" s="51" t="s">
        <v>375</v>
      </c>
      <c r="AB86" s="95">
        <v>2808969.2268490037</v>
      </c>
      <c r="AC86" s="91"/>
      <c r="AD86" s="51">
        <v>87</v>
      </c>
      <c r="AE86" s="51" t="s">
        <v>375</v>
      </c>
      <c r="AF86" s="95">
        <v>2936121.1662018835</v>
      </c>
      <c r="AH86" s="95"/>
      <c r="AI86" s="232">
        <v>87</v>
      </c>
      <c r="AJ86" s="51" t="s">
        <v>375</v>
      </c>
      <c r="AK86" s="51">
        <v>10134</v>
      </c>
      <c r="AL86" s="241">
        <v>49444.792366701848</v>
      </c>
    </row>
    <row r="87" spans="1:43" x14ac:dyDescent="0.2">
      <c r="A87" s="49">
        <v>89</v>
      </c>
      <c r="B87" s="203">
        <v>129172158.7462631</v>
      </c>
      <c r="C87" s="204">
        <v>0</v>
      </c>
      <c r="D87" s="204">
        <v>0</v>
      </c>
      <c r="E87" s="204">
        <v>0</v>
      </c>
      <c r="F87" s="204">
        <v>0</v>
      </c>
      <c r="G87" s="205">
        <v>129172158.7462631</v>
      </c>
      <c r="H87" s="206">
        <v>27609115.23</v>
      </c>
      <c r="I87" s="204">
        <v>18758306.5</v>
      </c>
      <c r="J87" s="204">
        <v>0</v>
      </c>
      <c r="K87" s="204">
        <v>0</v>
      </c>
      <c r="L87" s="204">
        <v>411390.18000000005</v>
      </c>
      <c r="M87" s="207">
        <v>18346916.32</v>
      </c>
      <c r="N87" s="205">
        <v>122264049.21999997</v>
      </c>
      <c r="O87" s="204">
        <v>0</v>
      </c>
      <c r="P87" s="206">
        <v>297392239.51626307</v>
      </c>
      <c r="Q87" s="245">
        <v>29027.350000000002</v>
      </c>
      <c r="S87" s="87">
        <f t="shared" si="7"/>
        <v>29939567.042523716</v>
      </c>
      <c r="T87" s="61">
        <f t="shared" si="9"/>
        <v>32028360.805948541</v>
      </c>
      <c r="Z87" s="49">
        <v>88</v>
      </c>
      <c r="AA87" s="51" t="s">
        <v>376</v>
      </c>
      <c r="AB87" s="95">
        <v>25820045.133196041</v>
      </c>
      <c r="AC87" s="91"/>
      <c r="AD87" s="51">
        <v>88</v>
      </c>
      <c r="AE87" s="51" t="s">
        <v>376</v>
      </c>
      <c r="AF87" s="95">
        <v>27227304.254551806</v>
      </c>
      <c r="AH87" s="95"/>
      <c r="AI87" s="232">
        <v>88</v>
      </c>
      <c r="AJ87" s="51" t="s">
        <v>376</v>
      </c>
      <c r="AK87" s="51">
        <v>0</v>
      </c>
      <c r="AL87" s="241">
        <v>388080.23037090898</v>
      </c>
      <c r="AQ87" s="230"/>
    </row>
    <row r="88" spans="1:43" x14ac:dyDescent="0.2">
      <c r="A88" s="49">
        <v>90</v>
      </c>
      <c r="B88" s="203">
        <v>1716924.0529950792</v>
      </c>
      <c r="C88" s="204">
        <v>0</v>
      </c>
      <c r="D88" s="204">
        <v>0</v>
      </c>
      <c r="E88" s="204">
        <v>0</v>
      </c>
      <c r="F88" s="204">
        <v>0</v>
      </c>
      <c r="G88" s="205">
        <v>1716924.0529950792</v>
      </c>
      <c r="H88" s="206">
        <v>908331.9</v>
      </c>
      <c r="I88" s="204">
        <v>1100611.2299999997</v>
      </c>
      <c r="J88" s="204">
        <v>0</v>
      </c>
      <c r="K88" s="204">
        <v>0</v>
      </c>
      <c r="L88" s="204">
        <v>0</v>
      </c>
      <c r="M88" s="207">
        <v>1100611.2299999997</v>
      </c>
      <c r="N88" s="205">
        <v>12707547.41</v>
      </c>
      <c r="O88" s="204">
        <v>0</v>
      </c>
      <c r="P88" s="206">
        <v>16433414.592995079</v>
      </c>
      <c r="Q88" s="245">
        <v>790.1</v>
      </c>
      <c r="S88" s="87">
        <f t="shared" si="7"/>
        <v>954600.10205236543</v>
      </c>
      <c r="T88" s="61">
        <f t="shared" si="9"/>
        <v>970556.3880590467</v>
      </c>
      <c r="Z88" s="49">
        <v>89</v>
      </c>
      <c r="AA88" s="51" t="s">
        <v>377</v>
      </c>
      <c r="AB88" s="95">
        <v>29939567.042523716</v>
      </c>
      <c r="AC88" s="91"/>
      <c r="AD88" s="51">
        <v>89</v>
      </c>
      <c r="AE88" s="51" t="s">
        <v>377</v>
      </c>
      <c r="AF88" s="95">
        <v>32028360.805948541</v>
      </c>
      <c r="AH88" s="95"/>
      <c r="AI88" s="232">
        <v>89</v>
      </c>
      <c r="AJ88" s="51" t="s">
        <v>377</v>
      </c>
      <c r="AK88" s="51">
        <v>202548</v>
      </c>
      <c r="AL88" s="241">
        <v>462589.06626307772</v>
      </c>
      <c r="AQ88" s="230"/>
    </row>
    <row r="89" spans="1:43" x14ac:dyDescent="0.2">
      <c r="A89" s="49">
        <v>91</v>
      </c>
      <c r="B89" s="203">
        <v>6768768.0388748245</v>
      </c>
      <c r="C89" s="204">
        <v>0</v>
      </c>
      <c r="D89" s="204">
        <v>0</v>
      </c>
      <c r="E89" s="204">
        <v>0</v>
      </c>
      <c r="F89" s="204">
        <v>0</v>
      </c>
      <c r="G89" s="205">
        <v>6768768.0388748245</v>
      </c>
      <c r="H89" s="206">
        <v>1299850.3799999999</v>
      </c>
      <c r="I89" s="204">
        <v>1983609.71</v>
      </c>
      <c r="J89" s="204">
        <v>0</v>
      </c>
      <c r="K89" s="204">
        <v>0</v>
      </c>
      <c r="L89" s="204">
        <v>0</v>
      </c>
      <c r="M89" s="207">
        <v>1983609.71</v>
      </c>
      <c r="N89" s="205">
        <v>8534790.3499999978</v>
      </c>
      <c r="O89" s="204">
        <v>0</v>
      </c>
      <c r="P89" s="206">
        <v>18587018.478874821</v>
      </c>
      <c r="Q89" s="245">
        <v>1069.4499999999998</v>
      </c>
      <c r="S89" s="87">
        <f t="shared" si="7"/>
        <v>1378866.8140756388</v>
      </c>
      <c r="T89" s="61">
        <f t="shared" si="9"/>
        <v>1433263.5032964991</v>
      </c>
      <c r="Z89" s="49">
        <v>90</v>
      </c>
      <c r="AA89" s="51" t="s">
        <v>378</v>
      </c>
      <c r="AB89" s="95">
        <v>954600.10205236543</v>
      </c>
      <c r="AC89" s="91"/>
      <c r="AD89" s="51">
        <v>90</v>
      </c>
      <c r="AE89" s="51" t="s">
        <v>378</v>
      </c>
      <c r="AF89" s="95">
        <v>970556.3880590467</v>
      </c>
      <c r="AH89" s="95"/>
      <c r="AI89" s="232">
        <v>90</v>
      </c>
      <c r="AJ89" s="51" t="s">
        <v>378</v>
      </c>
      <c r="AK89" s="51">
        <v>0</v>
      </c>
      <c r="AL89" s="241">
        <v>6479.0829950795496</v>
      </c>
    </row>
    <row r="90" spans="1:43" x14ac:dyDescent="0.2">
      <c r="A90" s="49">
        <v>92</v>
      </c>
      <c r="B90" s="203">
        <v>31797843.138032615</v>
      </c>
      <c r="C90" s="204">
        <v>0</v>
      </c>
      <c r="D90" s="204">
        <v>0</v>
      </c>
      <c r="E90" s="204">
        <v>2416600.0499999998</v>
      </c>
      <c r="F90" s="204">
        <v>0</v>
      </c>
      <c r="G90" s="205">
        <v>29381243.088032614</v>
      </c>
      <c r="H90" s="206">
        <v>6601164.7599999998</v>
      </c>
      <c r="I90" s="204">
        <v>6002799.6800000006</v>
      </c>
      <c r="J90" s="204">
        <v>0</v>
      </c>
      <c r="K90" s="204">
        <v>0</v>
      </c>
      <c r="L90" s="204">
        <v>6625.81</v>
      </c>
      <c r="M90" s="207">
        <v>5996173.870000001</v>
      </c>
      <c r="N90" s="205">
        <v>15722386.900000013</v>
      </c>
      <c r="O90" s="204">
        <v>852343.40999999992</v>
      </c>
      <c r="P90" s="206">
        <v>57700968.618032627</v>
      </c>
      <c r="Q90" s="245">
        <v>5735.92</v>
      </c>
      <c r="S90" s="87">
        <f t="shared" si="7"/>
        <v>6591414.8289547982</v>
      </c>
      <c r="T90" s="61">
        <f t="shared" si="9"/>
        <v>6821168.1032870794</v>
      </c>
      <c r="Z90" s="49">
        <v>91</v>
      </c>
      <c r="AA90" s="51" t="s">
        <v>379</v>
      </c>
      <c r="AB90" s="95">
        <v>1378866.8140756388</v>
      </c>
      <c r="AC90" s="91"/>
      <c r="AD90" s="51">
        <v>91</v>
      </c>
      <c r="AE90" s="51" t="s">
        <v>379</v>
      </c>
      <c r="AF90" s="95">
        <v>1433263.5032964991</v>
      </c>
      <c r="AH90" s="95"/>
      <c r="AI90" s="232">
        <v>91</v>
      </c>
      <c r="AJ90" s="51" t="s">
        <v>379</v>
      </c>
      <c r="AK90" s="51">
        <v>8522</v>
      </c>
      <c r="AL90" s="241">
        <v>28159.588874822173</v>
      </c>
    </row>
    <row r="91" spans="1:43" x14ac:dyDescent="0.2">
      <c r="A91" s="49">
        <v>93</v>
      </c>
      <c r="B91" s="203">
        <v>22765163.923922732</v>
      </c>
      <c r="C91" s="204">
        <v>0</v>
      </c>
      <c r="D91" s="204">
        <v>0</v>
      </c>
      <c r="E91" s="204">
        <v>0</v>
      </c>
      <c r="F91" s="204">
        <v>0</v>
      </c>
      <c r="G91" s="205">
        <v>22765163.923922732</v>
      </c>
      <c r="H91" s="206">
        <v>6217488.7999999998</v>
      </c>
      <c r="I91" s="204">
        <v>3709347.6100000003</v>
      </c>
      <c r="J91" s="204">
        <v>0</v>
      </c>
      <c r="K91" s="204">
        <v>0</v>
      </c>
      <c r="L91" s="204">
        <v>0</v>
      </c>
      <c r="M91" s="207">
        <v>3709347.6100000003</v>
      </c>
      <c r="N91" s="205">
        <v>24457854.359999988</v>
      </c>
      <c r="O91" s="204">
        <v>374801.09</v>
      </c>
      <c r="P91" s="206">
        <v>57149854.693922721</v>
      </c>
      <c r="Q91" s="245">
        <v>5378.92</v>
      </c>
      <c r="S91" s="87">
        <f t="shared" si="7"/>
        <v>6710964.5592494914</v>
      </c>
      <c r="T91" s="61">
        <f t="shared" si="9"/>
        <v>6945309.0366434688</v>
      </c>
      <c r="Z91" s="49">
        <v>92</v>
      </c>
      <c r="AA91" s="51" t="s">
        <v>380</v>
      </c>
      <c r="AB91" s="95">
        <v>6591414.8289547982</v>
      </c>
      <c r="AC91" s="91"/>
      <c r="AD91" s="51">
        <v>92</v>
      </c>
      <c r="AE91" s="51" t="s">
        <v>380</v>
      </c>
      <c r="AF91" s="95">
        <v>6821168.1032870794</v>
      </c>
      <c r="AH91" s="95"/>
      <c r="AI91" s="232">
        <v>92</v>
      </c>
      <c r="AJ91" s="51" t="s">
        <v>380</v>
      </c>
      <c r="AK91" s="51">
        <v>448263</v>
      </c>
      <c r="AL91" s="241">
        <v>21898.398032618559</v>
      </c>
    </row>
    <row r="92" spans="1:43" x14ac:dyDescent="0.2">
      <c r="A92" s="49">
        <v>94</v>
      </c>
      <c r="B92" s="203">
        <v>34851719.925639026</v>
      </c>
      <c r="C92" s="204">
        <v>0</v>
      </c>
      <c r="D92" s="204">
        <v>0</v>
      </c>
      <c r="E92" s="204">
        <v>0</v>
      </c>
      <c r="F92" s="204">
        <v>1259900.57</v>
      </c>
      <c r="G92" s="205">
        <v>33591819.355639026</v>
      </c>
      <c r="H92" s="206">
        <v>7378120.4299999997</v>
      </c>
      <c r="I92" s="204">
        <v>6054892.7700000014</v>
      </c>
      <c r="J92" s="204">
        <v>0</v>
      </c>
      <c r="K92" s="204">
        <v>0</v>
      </c>
      <c r="L92" s="204">
        <v>0</v>
      </c>
      <c r="M92" s="207">
        <v>6054892.7700000014</v>
      </c>
      <c r="N92" s="205">
        <v>27715944.530000001</v>
      </c>
      <c r="O92" s="204">
        <v>924379.39</v>
      </c>
      <c r="P92" s="206">
        <v>74740777.08563903</v>
      </c>
      <c r="Q92" s="245">
        <v>7223.25</v>
      </c>
      <c r="S92" s="87">
        <f t="shared" si="7"/>
        <v>7981966.9550141282</v>
      </c>
      <c r="T92" s="61">
        <f t="shared" si="9"/>
        <v>8284526.3783063395</v>
      </c>
      <c r="Z92" s="49">
        <v>93</v>
      </c>
      <c r="AA92" s="51" t="s">
        <v>381</v>
      </c>
      <c r="AB92" s="95">
        <v>6710964.5592494914</v>
      </c>
      <c r="AC92" s="91"/>
      <c r="AD92" s="51">
        <v>93</v>
      </c>
      <c r="AE92" s="51" t="s">
        <v>381</v>
      </c>
      <c r="AF92" s="95">
        <v>6945309.0366434688</v>
      </c>
      <c r="AH92" s="95"/>
      <c r="AI92" s="232">
        <v>93</v>
      </c>
      <c r="AJ92" s="51" t="s">
        <v>381</v>
      </c>
      <c r="AK92" s="51">
        <v>0</v>
      </c>
      <c r="AL92" s="241">
        <v>74505.803922728126</v>
      </c>
    </row>
    <row r="93" spans="1:43" x14ac:dyDescent="0.2">
      <c r="A93" s="49">
        <v>95</v>
      </c>
      <c r="B93" s="203">
        <v>10862491.268262984</v>
      </c>
      <c r="C93" s="204">
        <v>0</v>
      </c>
      <c r="D93" s="204">
        <v>0</v>
      </c>
      <c r="E93" s="204">
        <v>0</v>
      </c>
      <c r="F93" s="204">
        <v>108628</v>
      </c>
      <c r="G93" s="205">
        <v>10753863.268262984</v>
      </c>
      <c r="H93" s="206">
        <v>1789221.34</v>
      </c>
      <c r="I93" s="204">
        <v>2040132.2499999998</v>
      </c>
      <c r="J93" s="204">
        <v>0</v>
      </c>
      <c r="K93" s="204">
        <v>0</v>
      </c>
      <c r="L93" s="204">
        <v>0</v>
      </c>
      <c r="M93" s="207">
        <v>2040132.2499999998</v>
      </c>
      <c r="N93" s="205">
        <v>9891166.2100000028</v>
      </c>
      <c r="O93" s="204">
        <v>0</v>
      </c>
      <c r="P93" s="206">
        <v>24474383.068262987</v>
      </c>
      <c r="Q93" s="245">
        <v>1600.56</v>
      </c>
      <c r="S93" s="87">
        <f t="shared" si="7"/>
        <v>1926278.7370039725</v>
      </c>
      <c r="T93" s="61">
        <f t="shared" si="9"/>
        <v>2034218.4761353857</v>
      </c>
      <c r="Z93" s="49">
        <v>94</v>
      </c>
      <c r="AA93" s="51" t="s">
        <v>382</v>
      </c>
      <c r="AB93" s="95">
        <v>7981966.9550141282</v>
      </c>
      <c r="AC93" s="91"/>
      <c r="AD93" s="51">
        <v>94</v>
      </c>
      <c r="AE93" s="51" t="s">
        <v>382</v>
      </c>
      <c r="AF93" s="95">
        <v>8284526.3783063395</v>
      </c>
      <c r="AH93" s="95"/>
      <c r="AI93" s="232">
        <v>94</v>
      </c>
      <c r="AJ93" s="51" t="s">
        <v>382</v>
      </c>
      <c r="AK93" s="51">
        <v>65091</v>
      </c>
      <c r="AL93" s="241">
        <v>63120.105639032263</v>
      </c>
      <c r="AQ93" s="230"/>
    </row>
    <row r="94" spans="1:43" x14ac:dyDescent="0.2">
      <c r="A94" s="49">
        <v>96</v>
      </c>
      <c r="B94" s="203">
        <v>32093075.040106434</v>
      </c>
      <c r="C94" s="204">
        <v>0</v>
      </c>
      <c r="D94" s="204">
        <v>0</v>
      </c>
      <c r="E94" s="204">
        <v>0</v>
      </c>
      <c r="F94" s="204">
        <v>0</v>
      </c>
      <c r="G94" s="205">
        <v>32093075.040106434</v>
      </c>
      <c r="H94" s="206">
        <v>5958725.2000000002</v>
      </c>
      <c r="I94" s="204">
        <v>6599612.9800000004</v>
      </c>
      <c r="J94" s="204">
        <v>0</v>
      </c>
      <c r="K94" s="204">
        <v>0</v>
      </c>
      <c r="L94" s="204">
        <v>0</v>
      </c>
      <c r="M94" s="207">
        <v>6599612.9800000004</v>
      </c>
      <c r="N94" s="205">
        <v>11975942.629999995</v>
      </c>
      <c r="O94" s="204">
        <v>328926.56</v>
      </c>
      <c r="P94" s="206">
        <v>56627355.850106433</v>
      </c>
      <c r="Q94" s="245">
        <v>5759.48</v>
      </c>
      <c r="S94" s="87">
        <f t="shared" si="7"/>
        <v>6182428.9095255835</v>
      </c>
      <c r="T94" s="61">
        <f t="shared" si="9"/>
        <v>6291688.2132897507</v>
      </c>
      <c r="Z94" s="49">
        <v>95</v>
      </c>
      <c r="AA94" s="51" t="s">
        <v>383</v>
      </c>
      <c r="AB94" s="95">
        <v>1926278.7370039725</v>
      </c>
      <c r="AC94" s="91"/>
      <c r="AD94" s="51">
        <v>95</v>
      </c>
      <c r="AE94" s="51" t="s">
        <v>383</v>
      </c>
      <c r="AF94" s="95">
        <v>2034218.4761353857</v>
      </c>
      <c r="AH94" s="95"/>
      <c r="AI94" s="232">
        <v>95</v>
      </c>
      <c r="AJ94" s="51" t="s">
        <v>383</v>
      </c>
      <c r="AK94" s="51">
        <v>25258</v>
      </c>
      <c r="AL94" s="241">
        <v>42696.318262987457</v>
      </c>
      <c r="AQ94" s="230"/>
    </row>
    <row r="95" spans="1:43" x14ac:dyDescent="0.2">
      <c r="A95" s="49">
        <v>97</v>
      </c>
      <c r="B95" s="203">
        <v>21037793.793862395</v>
      </c>
      <c r="C95" s="204">
        <v>0</v>
      </c>
      <c r="D95" s="204">
        <v>0</v>
      </c>
      <c r="E95" s="204">
        <v>0</v>
      </c>
      <c r="F95" s="204">
        <v>128877</v>
      </c>
      <c r="G95" s="205">
        <v>20908916.793862395</v>
      </c>
      <c r="H95" s="206">
        <v>4480382.08</v>
      </c>
      <c r="I95" s="204">
        <v>3301869.82</v>
      </c>
      <c r="J95" s="204">
        <v>0</v>
      </c>
      <c r="K95" s="204">
        <v>0</v>
      </c>
      <c r="L95" s="204">
        <v>0</v>
      </c>
      <c r="M95" s="207">
        <v>3301869.82</v>
      </c>
      <c r="N95" s="205">
        <v>15240580.369999997</v>
      </c>
      <c r="O95" s="204">
        <v>144040.81</v>
      </c>
      <c r="P95" s="206">
        <v>43931749.063862391</v>
      </c>
      <c r="Q95" s="245">
        <v>4126.3100000000004</v>
      </c>
      <c r="S95" s="87">
        <f t="shared" si="7"/>
        <v>4426036.631361438</v>
      </c>
      <c r="T95" s="61">
        <f t="shared" si="9"/>
        <v>4747450.2392655695</v>
      </c>
      <c r="Z95" s="49">
        <v>96</v>
      </c>
      <c r="AA95" s="51" t="s">
        <v>384</v>
      </c>
      <c r="AB95" s="95">
        <v>6182428.9095255835</v>
      </c>
      <c r="AC95" s="91"/>
      <c r="AD95" s="51">
        <v>96</v>
      </c>
      <c r="AE95" s="51" t="s">
        <v>384</v>
      </c>
      <c r="AF95" s="95">
        <v>6291688.2132897507</v>
      </c>
      <c r="AH95" s="95"/>
      <c r="AI95" s="232">
        <v>96</v>
      </c>
      <c r="AJ95" s="51" t="s">
        <v>384</v>
      </c>
      <c r="AK95" s="51">
        <v>201922</v>
      </c>
      <c r="AL95" s="241">
        <v>158053.41010643661</v>
      </c>
      <c r="AQ95" s="230"/>
    </row>
    <row r="96" spans="1:43" x14ac:dyDescent="0.2">
      <c r="A96" s="49">
        <v>98</v>
      </c>
      <c r="B96" s="203">
        <v>52019791.997521907</v>
      </c>
      <c r="C96" s="204">
        <v>0</v>
      </c>
      <c r="D96" s="204">
        <v>0</v>
      </c>
      <c r="E96" s="204">
        <v>0</v>
      </c>
      <c r="F96" s="204">
        <v>0</v>
      </c>
      <c r="G96" s="205">
        <v>52019791.997521907</v>
      </c>
      <c r="H96" s="206">
        <v>13605183.16</v>
      </c>
      <c r="I96" s="204">
        <v>14627574.870000003</v>
      </c>
      <c r="J96" s="204">
        <v>0</v>
      </c>
      <c r="K96" s="204">
        <v>0</v>
      </c>
      <c r="L96" s="204">
        <v>0</v>
      </c>
      <c r="M96" s="207">
        <v>14627574.870000003</v>
      </c>
      <c r="N96" s="205">
        <v>56922248.609999985</v>
      </c>
      <c r="O96" s="204">
        <v>48290.96</v>
      </c>
      <c r="P96" s="206">
        <v>137174798.63752189</v>
      </c>
      <c r="Q96" s="245">
        <v>12741.230000000001</v>
      </c>
      <c r="S96" s="87">
        <f t="shared" si="7"/>
        <v>13397659.624379007</v>
      </c>
      <c r="T96" s="61">
        <f t="shared" si="9"/>
        <v>13929176.999556726</v>
      </c>
      <c r="Z96" s="49">
        <v>97</v>
      </c>
      <c r="AA96" s="51" t="s">
        <v>385</v>
      </c>
      <c r="AB96" s="95">
        <v>4426036.631361438</v>
      </c>
      <c r="AC96" s="91"/>
      <c r="AD96" s="51">
        <v>97</v>
      </c>
      <c r="AE96" s="51" t="s">
        <v>385</v>
      </c>
      <c r="AF96" s="95">
        <v>4747450.2392655695</v>
      </c>
      <c r="AH96" s="95"/>
      <c r="AI96" s="232">
        <v>97</v>
      </c>
      <c r="AJ96" s="51" t="s">
        <v>385</v>
      </c>
      <c r="AK96" s="51">
        <v>103817</v>
      </c>
      <c r="AL96" s="241">
        <v>149010.0138623956</v>
      </c>
      <c r="AQ96" s="230"/>
    </row>
    <row r="97" spans="1:43" x14ac:dyDescent="0.2">
      <c r="A97" s="49">
        <v>101</v>
      </c>
      <c r="B97" s="203">
        <v>28789501.080000006</v>
      </c>
      <c r="C97" s="204">
        <v>0</v>
      </c>
      <c r="D97" s="204">
        <v>0</v>
      </c>
      <c r="E97" s="204">
        <v>125429.4</v>
      </c>
      <c r="F97" s="204">
        <v>0</v>
      </c>
      <c r="G97" s="205">
        <v>28664071.680000007</v>
      </c>
      <c r="H97" s="206">
        <v>17218373.100000001</v>
      </c>
      <c r="I97" s="204">
        <v>16290757.100000003</v>
      </c>
      <c r="J97" s="204">
        <v>0</v>
      </c>
      <c r="K97" s="204">
        <v>0</v>
      </c>
      <c r="L97" s="204">
        <v>0</v>
      </c>
      <c r="M97" s="207">
        <v>16290757.100000003</v>
      </c>
      <c r="N97" s="205">
        <v>215055032.29000002</v>
      </c>
      <c r="O97" s="204">
        <v>297146.71000000002</v>
      </c>
      <c r="P97" s="206">
        <v>277228234.17000002</v>
      </c>
      <c r="Q97" s="245">
        <v>15559.26</v>
      </c>
      <c r="S97" s="87">
        <f t="shared" si="7"/>
        <v>18545488.988271564</v>
      </c>
      <c r="T97" s="61">
        <f t="shared" si="9"/>
        <v>19194821.589423589</v>
      </c>
      <c r="Z97" s="49">
        <v>98</v>
      </c>
      <c r="AA97" s="51" t="s">
        <v>386</v>
      </c>
      <c r="AB97" s="95">
        <v>13397659.624379007</v>
      </c>
      <c r="AC97" s="91"/>
      <c r="AD97" s="51">
        <v>98</v>
      </c>
      <c r="AE97" s="51" t="s">
        <v>386</v>
      </c>
      <c r="AF97" s="95">
        <v>13929176.999556726</v>
      </c>
      <c r="AH97" s="95"/>
      <c r="AI97" s="232">
        <v>98</v>
      </c>
      <c r="AJ97" s="51" t="s">
        <v>386</v>
      </c>
      <c r="AK97" s="51">
        <v>102150</v>
      </c>
      <c r="AL97" s="241">
        <v>146200.71752191772</v>
      </c>
    </row>
    <row r="98" spans="1:43" x14ac:dyDescent="0.2">
      <c r="A98" s="49">
        <v>102</v>
      </c>
      <c r="B98" s="203">
        <v>12702231.447118327</v>
      </c>
      <c r="C98" s="204">
        <v>53986.99</v>
      </c>
      <c r="D98" s="204">
        <v>0</v>
      </c>
      <c r="E98" s="204">
        <v>164078.82</v>
      </c>
      <c r="F98" s="204">
        <v>135074</v>
      </c>
      <c r="G98" s="205">
        <v>12457065.617118327</v>
      </c>
      <c r="H98" s="206">
        <v>2651738.66</v>
      </c>
      <c r="I98" s="204">
        <v>3620399.4700000007</v>
      </c>
      <c r="J98" s="204">
        <v>0</v>
      </c>
      <c r="K98" s="204">
        <v>0</v>
      </c>
      <c r="L98" s="204">
        <v>0</v>
      </c>
      <c r="M98" s="207">
        <v>3620399.4700000007</v>
      </c>
      <c r="N98" s="205">
        <v>6750561.6099999994</v>
      </c>
      <c r="O98" s="204">
        <v>87637.65</v>
      </c>
      <c r="P98" s="206">
        <v>25479765.357118327</v>
      </c>
      <c r="Q98" s="245">
        <v>2259.3599999999997</v>
      </c>
      <c r="S98" s="87">
        <f t="shared" si="7"/>
        <v>2830542.1105112042</v>
      </c>
      <c r="T98" s="61">
        <f t="shared" si="9"/>
        <v>2882514.8540707151</v>
      </c>
      <c r="Z98" s="49">
        <v>101</v>
      </c>
      <c r="AA98" s="51" t="s">
        <v>387</v>
      </c>
      <c r="AB98" s="95">
        <v>18545488.988271564</v>
      </c>
      <c r="AC98" s="91"/>
      <c r="AD98" s="51">
        <v>101</v>
      </c>
      <c r="AE98" s="51" t="s">
        <v>387</v>
      </c>
      <c r="AF98" s="95">
        <v>19194821.589423589</v>
      </c>
      <c r="AH98" s="95"/>
      <c r="AI98" s="232">
        <v>101</v>
      </c>
      <c r="AJ98" s="51" t="s">
        <v>387</v>
      </c>
      <c r="AK98" s="51">
        <v>3501</v>
      </c>
      <c r="AL98" s="241">
        <v>0</v>
      </c>
    </row>
    <row r="99" spans="1:43" x14ac:dyDescent="0.2">
      <c r="A99" s="49">
        <v>103</v>
      </c>
      <c r="B99" s="203">
        <v>6145269.7454961436</v>
      </c>
      <c r="C99" s="204">
        <v>0</v>
      </c>
      <c r="D99" s="204">
        <v>0</v>
      </c>
      <c r="E99" s="204">
        <v>0</v>
      </c>
      <c r="F99" s="204">
        <v>91498.54</v>
      </c>
      <c r="G99" s="205">
        <v>6053771.2054961435</v>
      </c>
      <c r="H99" s="206">
        <v>1008591.94</v>
      </c>
      <c r="I99" s="204">
        <v>1049235.6099999999</v>
      </c>
      <c r="J99" s="204">
        <v>0</v>
      </c>
      <c r="K99" s="204">
        <v>0</v>
      </c>
      <c r="L99" s="204">
        <v>0</v>
      </c>
      <c r="M99" s="207">
        <v>1049235.6099999999</v>
      </c>
      <c r="N99" s="205">
        <v>1420569.700000003</v>
      </c>
      <c r="O99" s="204">
        <v>0</v>
      </c>
      <c r="P99" s="206">
        <v>9532168.4554961454</v>
      </c>
      <c r="Q99" s="245">
        <v>923.01</v>
      </c>
      <c r="S99" s="87">
        <f t="shared" si="7"/>
        <v>1062464.5203633672</v>
      </c>
      <c r="T99" s="61">
        <f t="shared" si="9"/>
        <v>1105982.8608114717</v>
      </c>
      <c r="Z99" s="49">
        <v>102</v>
      </c>
      <c r="AA99" s="51" t="s">
        <v>388</v>
      </c>
      <c r="AB99" s="95">
        <v>2830542.1105112042</v>
      </c>
      <c r="AC99" s="91"/>
      <c r="AD99" s="51">
        <v>102</v>
      </c>
      <c r="AE99" s="51" t="s">
        <v>388</v>
      </c>
      <c r="AF99" s="95">
        <v>2882514.8540707151</v>
      </c>
      <c r="AH99" s="95"/>
      <c r="AI99" s="232">
        <v>102</v>
      </c>
      <c r="AJ99" s="51" t="s">
        <v>388</v>
      </c>
      <c r="AK99" s="51">
        <v>69983</v>
      </c>
      <c r="AL99" s="241">
        <v>32998.267118327087</v>
      </c>
      <c r="AQ99" s="230"/>
    </row>
    <row r="100" spans="1:43" x14ac:dyDescent="0.2">
      <c r="A100" s="49">
        <v>104</v>
      </c>
      <c r="B100" s="203">
        <v>12923646.82</v>
      </c>
      <c r="C100" s="204">
        <v>0</v>
      </c>
      <c r="D100" s="204">
        <v>0</v>
      </c>
      <c r="E100" s="204">
        <v>284000</v>
      </c>
      <c r="F100" s="204">
        <v>0</v>
      </c>
      <c r="G100" s="205">
        <v>12639646.82</v>
      </c>
      <c r="H100" s="206">
        <v>5045971.54</v>
      </c>
      <c r="I100" s="204">
        <v>4710155.5699999994</v>
      </c>
      <c r="J100" s="204">
        <v>0</v>
      </c>
      <c r="K100" s="204">
        <v>0</v>
      </c>
      <c r="L100" s="204">
        <v>0</v>
      </c>
      <c r="M100" s="207">
        <v>4710155.5699999994</v>
      </c>
      <c r="N100" s="205">
        <v>53572428.440000005</v>
      </c>
      <c r="O100" s="204">
        <v>0</v>
      </c>
      <c r="P100" s="206">
        <v>75968202.370000005</v>
      </c>
      <c r="Q100" s="245">
        <v>4448.04</v>
      </c>
      <c r="S100" s="87">
        <f t="shared" si="7"/>
        <v>5270974.5747976182</v>
      </c>
      <c r="T100" s="61">
        <f t="shared" si="9"/>
        <v>5539318.9202207224</v>
      </c>
      <c r="Z100" s="49">
        <v>103</v>
      </c>
      <c r="AA100" s="51" t="s">
        <v>389</v>
      </c>
      <c r="AB100" s="95">
        <v>1062464.5203633672</v>
      </c>
      <c r="AC100" s="91"/>
      <c r="AD100" s="51">
        <v>103</v>
      </c>
      <c r="AE100" s="51" t="s">
        <v>389</v>
      </c>
      <c r="AF100" s="95">
        <v>1105982.8608114717</v>
      </c>
      <c r="AH100" s="95"/>
      <c r="AI100" s="232">
        <v>103</v>
      </c>
      <c r="AJ100" s="51" t="s">
        <v>389</v>
      </c>
      <c r="AK100" s="51">
        <v>12520</v>
      </c>
      <c r="AL100" s="241">
        <v>14626.875496144898</v>
      </c>
      <c r="AQ100" s="230"/>
    </row>
    <row r="101" spans="1:43" x14ac:dyDescent="0.2">
      <c r="A101" s="49">
        <v>106</v>
      </c>
      <c r="B101" s="203">
        <v>12401199.444099505</v>
      </c>
      <c r="C101" s="204">
        <v>0</v>
      </c>
      <c r="D101" s="204">
        <v>0</v>
      </c>
      <c r="E101" s="204">
        <v>0</v>
      </c>
      <c r="F101" s="204">
        <v>0</v>
      </c>
      <c r="G101" s="205">
        <v>12401199.444099505</v>
      </c>
      <c r="H101" s="206">
        <v>2733198.52</v>
      </c>
      <c r="I101" s="204">
        <v>2273404.65</v>
      </c>
      <c r="J101" s="204">
        <v>0</v>
      </c>
      <c r="K101" s="204">
        <v>0</v>
      </c>
      <c r="L101" s="204">
        <v>0</v>
      </c>
      <c r="M101" s="207">
        <v>2273404.65</v>
      </c>
      <c r="N101" s="205">
        <v>20834478.200000003</v>
      </c>
      <c r="O101" s="204">
        <v>0</v>
      </c>
      <c r="P101" s="206">
        <v>38242280.814099506</v>
      </c>
      <c r="Q101" s="245">
        <v>2822.63</v>
      </c>
      <c r="S101" s="87">
        <f t="shared" si="7"/>
        <v>2968069.2438577316</v>
      </c>
      <c r="T101" s="61">
        <f t="shared" si="9"/>
        <v>3177819.8016003091</v>
      </c>
      <c r="Z101" s="49">
        <v>104</v>
      </c>
      <c r="AA101" s="51" t="s">
        <v>390</v>
      </c>
      <c r="AB101" s="95">
        <v>5270974.5747976182</v>
      </c>
      <c r="AC101" s="91"/>
      <c r="AD101" s="51">
        <v>104</v>
      </c>
      <c r="AE101" s="51" t="s">
        <v>390</v>
      </c>
      <c r="AF101" s="95">
        <v>5539318.9202207224</v>
      </c>
      <c r="AH101" s="95"/>
      <c r="AI101" s="232">
        <v>104</v>
      </c>
      <c r="AJ101" s="51" t="s">
        <v>390</v>
      </c>
      <c r="AK101" s="51">
        <v>0</v>
      </c>
      <c r="AL101" s="241">
        <v>0</v>
      </c>
    </row>
    <row r="102" spans="1:43" x14ac:dyDescent="0.2">
      <c r="A102" s="49">
        <v>107</v>
      </c>
      <c r="B102" s="203">
        <v>5839151.3666736623</v>
      </c>
      <c r="C102" s="204">
        <v>0</v>
      </c>
      <c r="D102" s="204">
        <v>0</v>
      </c>
      <c r="E102" s="204">
        <v>0</v>
      </c>
      <c r="F102" s="204">
        <v>0</v>
      </c>
      <c r="G102" s="205">
        <v>5839151.3666736623</v>
      </c>
      <c r="H102" s="206">
        <v>913706.22</v>
      </c>
      <c r="I102" s="204">
        <v>916590.02</v>
      </c>
      <c r="J102" s="204">
        <v>0</v>
      </c>
      <c r="K102" s="204">
        <v>0</v>
      </c>
      <c r="L102" s="204">
        <v>0</v>
      </c>
      <c r="M102" s="207">
        <v>916590.02</v>
      </c>
      <c r="N102" s="205">
        <v>4014157.5800000019</v>
      </c>
      <c r="O102" s="204">
        <v>43985.51</v>
      </c>
      <c r="P102" s="206">
        <v>11683605.186673664</v>
      </c>
      <c r="Q102" s="245">
        <v>1023.23</v>
      </c>
      <c r="S102" s="87">
        <f t="shared" si="7"/>
        <v>957296.7125101405</v>
      </c>
      <c r="T102" s="61">
        <f t="shared" si="9"/>
        <v>978080.08098973695</v>
      </c>
      <c r="Z102" s="49">
        <v>106</v>
      </c>
      <c r="AA102" s="51" t="s">
        <v>391</v>
      </c>
      <c r="AB102" s="95">
        <v>2968069.2438577316</v>
      </c>
      <c r="AC102" s="91"/>
      <c r="AD102" s="51">
        <v>106</v>
      </c>
      <c r="AE102" s="51" t="s">
        <v>391</v>
      </c>
      <c r="AF102" s="95">
        <v>3177819.8016003091</v>
      </c>
      <c r="AH102" s="95"/>
      <c r="AI102" s="232">
        <v>106</v>
      </c>
      <c r="AJ102" s="51" t="s">
        <v>391</v>
      </c>
      <c r="AK102" s="51">
        <v>9054</v>
      </c>
      <c r="AL102" s="241">
        <v>34556.104099505348</v>
      </c>
    </row>
    <row r="103" spans="1:43" x14ac:dyDescent="0.2">
      <c r="A103" s="49">
        <v>108</v>
      </c>
      <c r="B103" s="203">
        <v>34410568.246797122</v>
      </c>
      <c r="C103" s="204">
        <v>0</v>
      </c>
      <c r="D103" s="204">
        <v>0</v>
      </c>
      <c r="E103" s="204">
        <v>648988.65</v>
      </c>
      <c r="F103" s="204">
        <v>0</v>
      </c>
      <c r="G103" s="205">
        <v>33761579.596797124</v>
      </c>
      <c r="H103" s="206">
        <v>6665090.9800000004</v>
      </c>
      <c r="I103" s="204">
        <v>10614991.149999999</v>
      </c>
      <c r="J103" s="204">
        <v>49060.29</v>
      </c>
      <c r="K103" s="204">
        <v>50895.99</v>
      </c>
      <c r="L103" s="204">
        <v>55883.05</v>
      </c>
      <c r="M103" s="207">
        <v>10557272.399999997</v>
      </c>
      <c r="N103" s="205">
        <v>20365410.149999999</v>
      </c>
      <c r="O103" s="204">
        <v>250738.4</v>
      </c>
      <c r="P103" s="206">
        <v>71349353.126797125</v>
      </c>
      <c r="Q103" s="245">
        <v>5766.0400000000009</v>
      </c>
      <c r="S103" s="87">
        <f t="shared" si="7"/>
        <v>6900626.1614463367</v>
      </c>
      <c r="T103" s="61">
        <f t="shared" si="9"/>
        <v>7088259.2023265837</v>
      </c>
      <c r="Z103" s="49">
        <v>107</v>
      </c>
      <c r="AA103" s="51" t="s">
        <v>392</v>
      </c>
      <c r="AB103" s="95">
        <v>957296.7125101405</v>
      </c>
      <c r="AC103" s="91"/>
      <c r="AD103" s="51">
        <v>107</v>
      </c>
      <c r="AE103" s="51" t="s">
        <v>392</v>
      </c>
      <c r="AF103" s="95">
        <v>978080.08098973695</v>
      </c>
      <c r="AH103" s="95"/>
      <c r="AI103" s="232">
        <v>107</v>
      </c>
      <c r="AJ103" s="51" t="s">
        <v>392</v>
      </c>
      <c r="AK103" s="51">
        <v>0</v>
      </c>
      <c r="AL103" s="241">
        <v>9139.8866736621203</v>
      </c>
    </row>
    <row r="104" spans="1:43" x14ac:dyDescent="0.2">
      <c r="A104" s="49">
        <v>109</v>
      </c>
      <c r="B104" s="203">
        <v>3851988.5604560501</v>
      </c>
      <c r="C104" s="204">
        <v>0</v>
      </c>
      <c r="D104" s="204">
        <v>0</v>
      </c>
      <c r="E104" s="204">
        <v>0</v>
      </c>
      <c r="F104" s="204">
        <v>0</v>
      </c>
      <c r="G104" s="205">
        <v>3851988.5604560501</v>
      </c>
      <c r="H104" s="206">
        <v>2612058.48</v>
      </c>
      <c r="I104" s="204">
        <v>550190.28</v>
      </c>
      <c r="J104" s="204">
        <v>0</v>
      </c>
      <c r="K104" s="204">
        <v>0</v>
      </c>
      <c r="L104" s="204">
        <v>0</v>
      </c>
      <c r="M104" s="207">
        <v>550190.28</v>
      </c>
      <c r="N104" s="205">
        <v>44010484.57</v>
      </c>
      <c r="O104" s="204">
        <v>0</v>
      </c>
      <c r="P104" s="206">
        <v>51024721.890456051</v>
      </c>
      <c r="Q104" s="245">
        <v>2673.26</v>
      </c>
      <c r="S104" s="87">
        <f t="shared" si="7"/>
        <v>2830542.1105112042</v>
      </c>
      <c r="T104" s="61">
        <f t="shared" si="9"/>
        <v>2863705.6217439896</v>
      </c>
      <c r="Z104" s="49">
        <v>108</v>
      </c>
      <c r="AA104" s="51" t="s">
        <v>393</v>
      </c>
      <c r="AB104" s="95">
        <v>6900626.1614463367</v>
      </c>
      <c r="AC104" s="91"/>
      <c r="AD104" s="51">
        <v>108</v>
      </c>
      <c r="AE104" s="51" t="s">
        <v>393</v>
      </c>
      <c r="AF104" s="95">
        <v>7088259.2023265837</v>
      </c>
      <c r="AH104" s="95"/>
      <c r="AI104" s="232">
        <v>108</v>
      </c>
      <c r="AJ104" s="51" t="s">
        <v>393</v>
      </c>
      <c r="AK104" s="51">
        <v>103343</v>
      </c>
      <c r="AL104" s="241">
        <v>93979.776797126324</v>
      </c>
    </row>
    <row r="105" spans="1:43" x14ac:dyDescent="0.2">
      <c r="A105" s="49">
        <v>110</v>
      </c>
      <c r="B105" s="203">
        <v>11339858.579999998</v>
      </c>
      <c r="C105" s="204">
        <v>0</v>
      </c>
      <c r="D105" s="204">
        <v>0</v>
      </c>
      <c r="E105" s="204">
        <v>173432.81</v>
      </c>
      <c r="F105" s="204">
        <v>0</v>
      </c>
      <c r="G105" s="205">
        <v>11166425.769999998</v>
      </c>
      <c r="H105" s="206">
        <v>3390073.32</v>
      </c>
      <c r="I105" s="204">
        <v>4844787.6399999997</v>
      </c>
      <c r="J105" s="204">
        <v>0</v>
      </c>
      <c r="K105" s="204">
        <v>0</v>
      </c>
      <c r="L105" s="204">
        <v>0</v>
      </c>
      <c r="M105" s="207">
        <v>4844787.6399999997</v>
      </c>
      <c r="N105" s="205">
        <v>30151452.870000005</v>
      </c>
      <c r="O105" s="204">
        <v>109000</v>
      </c>
      <c r="P105" s="206">
        <v>49552739.600000001</v>
      </c>
      <c r="Q105" s="245">
        <v>3597.2299999999996</v>
      </c>
      <c r="S105" s="87">
        <f t="shared" si="7"/>
        <v>3889411.1502642045</v>
      </c>
      <c r="T105" s="61">
        <f t="shared" si="9"/>
        <v>4181292.3462311253</v>
      </c>
      <c r="Z105" s="49">
        <v>109</v>
      </c>
      <c r="AA105" s="51" t="s">
        <v>394</v>
      </c>
      <c r="AB105" s="95">
        <v>2830542.1105112042</v>
      </c>
      <c r="AC105" s="91"/>
      <c r="AD105" s="51">
        <v>109</v>
      </c>
      <c r="AE105" s="51" t="s">
        <v>394</v>
      </c>
      <c r="AF105" s="95">
        <v>2863705.6217439896</v>
      </c>
      <c r="AH105" s="95"/>
      <c r="AI105" s="232">
        <v>109</v>
      </c>
      <c r="AJ105" s="51" t="s">
        <v>394</v>
      </c>
      <c r="AK105" s="51">
        <v>0</v>
      </c>
      <c r="AL105" s="241">
        <v>8553.9004560496232</v>
      </c>
    </row>
    <row r="106" spans="1:43" x14ac:dyDescent="0.2">
      <c r="A106" s="49">
        <v>111</v>
      </c>
      <c r="B106" s="203">
        <v>7906754.7850373881</v>
      </c>
      <c r="C106" s="204">
        <v>310340.19</v>
      </c>
      <c r="D106" s="204">
        <v>309378.61</v>
      </c>
      <c r="E106" s="204">
        <v>3213.67</v>
      </c>
      <c r="F106" s="204">
        <v>0</v>
      </c>
      <c r="G106" s="205">
        <v>7904502.6950373882</v>
      </c>
      <c r="H106" s="206">
        <v>1215173.6200000001</v>
      </c>
      <c r="I106" s="204">
        <v>1846829.9000000001</v>
      </c>
      <c r="J106" s="204">
        <v>0</v>
      </c>
      <c r="K106" s="204">
        <v>0</v>
      </c>
      <c r="L106" s="204">
        <v>16224.33</v>
      </c>
      <c r="M106" s="207">
        <v>1830605.57</v>
      </c>
      <c r="N106" s="205">
        <v>4041282.09</v>
      </c>
      <c r="O106" s="204">
        <v>233688.24</v>
      </c>
      <c r="P106" s="206">
        <v>14991563.975037389</v>
      </c>
      <c r="Q106" s="245">
        <v>1298.3600000000001</v>
      </c>
      <c r="S106" s="87">
        <f t="shared" si="7"/>
        <v>1202688.2641676692</v>
      </c>
      <c r="T106" s="61">
        <f t="shared" si="9"/>
        <v>1268622.3201367445</v>
      </c>
      <c r="Z106" s="49">
        <v>110</v>
      </c>
      <c r="AA106" s="51" t="s">
        <v>395</v>
      </c>
      <c r="AB106" s="95">
        <v>3889411.1502642045</v>
      </c>
      <c r="AC106" s="91"/>
      <c r="AD106" s="51">
        <v>110</v>
      </c>
      <c r="AE106" s="51" t="s">
        <v>395</v>
      </c>
      <c r="AF106" s="95">
        <v>4181292.3462311253</v>
      </c>
      <c r="AH106" s="95"/>
      <c r="AI106" s="232">
        <v>110</v>
      </c>
      <c r="AJ106" s="51" t="s">
        <v>395</v>
      </c>
      <c r="AK106" s="51">
        <v>26443</v>
      </c>
      <c r="AL106" s="241">
        <v>0</v>
      </c>
    </row>
    <row r="107" spans="1:43" x14ac:dyDescent="0.2">
      <c r="A107" s="49">
        <v>112</v>
      </c>
      <c r="B107" s="203">
        <v>104232066.57899041</v>
      </c>
      <c r="C107" s="204">
        <v>0</v>
      </c>
      <c r="D107" s="204">
        <v>0</v>
      </c>
      <c r="E107" s="204">
        <v>100379.99</v>
      </c>
      <c r="F107" s="204">
        <v>0</v>
      </c>
      <c r="G107" s="205">
        <v>104131686.58899042</v>
      </c>
      <c r="H107" s="206">
        <v>21734255.420000002</v>
      </c>
      <c r="I107" s="204">
        <v>22910070.719999999</v>
      </c>
      <c r="J107" s="204">
        <v>0</v>
      </c>
      <c r="K107" s="204">
        <v>0</v>
      </c>
      <c r="L107" s="204">
        <v>46760.03</v>
      </c>
      <c r="M107" s="207">
        <v>22863310.689999998</v>
      </c>
      <c r="N107" s="205">
        <v>77210485.640000045</v>
      </c>
      <c r="O107" s="204">
        <v>0</v>
      </c>
      <c r="P107" s="206">
        <v>225939738.33899045</v>
      </c>
      <c r="Q107" s="245">
        <v>19800.439999999999</v>
      </c>
      <c r="S107" s="87">
        <f t="shared" ref="S107:S137" si="10">VLOOKUP(A107,$Z$3:$AB$138,3,FALSE)</f>
        <v>21967487.659188095</v>
      </c>
      <c r="T107" s="61">
        <f t="shared" si="9"/>
        <v>22624685.104202021</v>
      </c>
      <c r="Z107" s="49">
        <v>111</v>
      </c>
      <c r="AA107" s="51" t="s">
        <v>396</v>
      </c>
      <c r="AB107" s="95">
        <v>1202688.2641676692</v>
      </c>
      <c r="AC107" s="91"/>
      <c r="AD107" s="51">
        <v>111</v>
      </c>
      <c r="AE107" s="51" t="s">
        <v>396</v>
      </c>
      <c r="AF107" s="95">
        <v>1268622.3201367445</v>
      </c>
      <c r="AH107" s="95"/>
      <c r="AI107" s="232">
        <v>111</v>
      </c>
      <c r="AJ107" s="51" t="s">
        <v>396</v>
      </c>
      <c r="AK107" s="51">
        <v>23042</v>
      </c>
      <c r="AL107" s="241">
        <v>22796.595037388888</v>
      </c>
    </row>
    <row r="108" spans="1:43" x14ac:dyDescent="0.2">
      <c r="A108" s="49">
        <v>113</v>
      </c>
      <c r="B108" s="203">
        <v>32621324.766344931</v>
      </c>
      <c r="C108" s="204">
        <v>0</v>
      </c>
      <c r="D108" s="204">
        <v>0</v>
      </c>
      <c r="E108" s="204">
        <v>18290.010000000002</v>
      </c>
      <c r="F108" s="204">
        <v>0</v>
      </c>
      <c r="G108" s="205">
        <v>32603034.756344929</v>
      </c>
      <c r="H108" s="206">
        <v>5923083.7800000003</v>
      </c>
      <c r="I108" s="204">
        <v>6723314.8999999994</v>
      </c>
      <c r="J108" s="204">
        <v>0</v>
      </c>
      <c r="K108" s="204">
        <v>0</v>
      </c>
      <c r="L108" s="204">
        <v>74291.55</v>
      </c>
      <c r="M108" s="207">
        <v>6649023.3499999996</v>
      </c>
      <c r="N108" s="205">
        <v>35080941.579999991</v>
      </c>
      <c r="O108" s="204">
        <v>52411.81</v>
      </c>
      <c r="P108" s="206">
        <v>80256083.466344923</v>
      </c>
      <c r="Q108" s="245">
        <v>6256.9</v>
      </c>
      <c r="S108" s="87">
        <f t="shared" si="10"/>
        <v>6230967.8977655331</v>
      </c>
      <c r="T108" s="61">
        <f t="shared" si="9"/>
        <v>6678217.9376039645</v>
      </c>
      <c r="Z108" s="49">
        <v>112</v>
      </c>
      <c r="AA108" s="51" t="s">
        <v>397</v>
      </c>
      <c r="AB108" s="95">
        <v>21967487.659188095</v>
      </c>
      <c r="AC108" s="91"/>
      <c r="AD108" s="51">
        <v>112</v>
      </c>
      <c r="AE108" s="51" t="s">
        <v>397</v>
      </c>
      <c r="AF108" s="95">
        <v>22624685.104202021</v>
      </c>
      <c r="AH108" s="95"/>
      <c r="AI108" s="232">
        <v>112</v>
      </c>
      <c r="AJ108" s="51" t="s">
        <v>397</v>
      </c>
      <c r="AK108" s="51">
        <v>73939</v>
      </c>
      <c r="AL108" s="241">
        <v>125766.50899042714</v>
      </c>
      <c r="AQ108" s="230"/>
    </row>
    <row r="109" spans="1:43" x14ac:dyDescent="0.2">
      <c r="A109" s="49">
        <v>114</v>
      </c>
      <c r="B109" s="203">
        <v>25713966.362578165</v>
      </c>
      <c r="C109" s="204">
        <v>0</v>
      </c>
      <c r="D109" s="204">
        <v>0</v>
      </c>
      <c r="E109" s="204">
        <v>156879.34</v>
      </c>
      <c r="F109" s="204">
        <v>0</v>
      </c>
      <c r="G109" s="205">
        <v>25557087.022578165</v>
      </c>
      <c r="H109" s="206">
        <v>3924096.6</v>
      </c>
      <c r="I109" s="204">
        <v>7953943.9200000009</v>
      </c>
      <c r="J109" s="204">
        <v>0</v>
      </c>
      <c r="K109" s="204">
        <v>0</v>
      </c>
      <c r="L109" s="204">
        <v>86443.8</v>
      </c>
      <c r="M109" s="207">
        <v>7867500.120000001</v>
      </c>
      <c r="N109" s="205">
        <v>11852770.159999996</v>
      </c>
      <c r="O109" s="204">
        <v>19710.59</v>
      </c>
      <c r="P109" s="206">
        <v>49201453.90257816</v>
      </c>
      <c r="Q109" s="245">
        <v>4287.4399999999996</v>
      </c>
      <c r="S109" s="87">
        <f t="shared" si="10"/>
        <v>4232779.5485542268</v>
      </c>
      <c r="T109" s="61">
        <f t="shared" si="9"/>
        <v>4480359.1402260642</v>
      </c>
      <c r="Z109" s="49">
        <v>113</v>
      </c>
      <c r="AA109" s="51" t="s">
        <v>398</v>
      </c>
      <c r="AB109" s="95">
        <v>6230967.8977655331</v>
      </c>
      <c r="AC109" s="91"/>
      <c r="AD109" s="51">
        <v>113</v>
      </c>
      <c r="AE109" s="51" t="s">
        <v>398</v>
      </c>
      <c r="AF109" s="95">
        <v>6678217.9376039645</v>
      </c>
      <c r="AH109" s="95"/>
      <c r="AI109" s="232">
        <v>113</v>
      </c>
      <c r="AJ109" s="51" t="s">
        <v>398</v>
      </c>
      <c r="AK109" s="51">
        <v>0</v>
      </c>
      <c r="AL109" s="241">
        <v>29996.556344931119</v>
      </c>
    </row>
    <row r="110" spans="1:43" x14ac:dyDescent="0.2">
      <c r="A110" s="49">
        <v>115</v>
      </c>
      <c r="B110" s="203">
        <v>43159756.530521482</v>
      </c>
      <c r="C110" s="204">
        <v>0</v>
      </c>
      <c r="D110" s="204">
        <v>0</v>
      </c>
      <c r="E110" s="204">
        <v>0</v>
      </c>
      <c r="F110" s="204">
        <v>724280</v>
      </c>
      <c r="G110" s="205">
        <v>42435476.530521482</v>
      </c>
      <c r="H110" s="206">
        <v>10692439.52</v>
      </c>
      <c r="I110" s="204">
        <v>13466108.019999998</v>
      </c>
      <c r="J110" s="204">
        <v>0</v>
      </c>
      <c r="K110" s="204">
        <v>0</v>
      </c>
      <c r="L110" s="204">
        <v>0</v>
      </c>
      <c r="M110" s="207">
        <v>13466108.019999998</v>
      </c>
      <c r="N110" s="205">
        <v>41191358.810000002</v>
      </c>
      <c r="O110" s="204">
        <v>575177.76</v>
      </c>
      <c r="P110" s="206">
        <v>107785382.88052148</v>
      </c>
      <c r="Q110" s="245">
        <v>8310.73</v>
      </c>
      <c r="S110" s="87">
        <f t="shared" si="10"/>
        <v>10961721.510855552</v>
      </c>
      <c r="T110" s="61">
        <f t="shared" si="9"/>
        <v>11678652.351663994</v>
      </c>
      <c r="Z110" s="49">
        <v>114</v>
      </c>
      <c r="AA110" s="51" t="s">
        <v>399</v>
      </c>
      <c r="AB110" s="95">
        <v>4232779.5485542268</v>
      </c>
      <c r="AC110" s="91"/>
      <c r="AD110" s="51">
        <v>114</v>
      </c>
      <c r="AE110" s="51" t="s">
        <v>399</v>
      </c>
      <c r="AF110" s="95">
        <v>4480359.1402260642</v>
      </c>
      <c r="AH110" s="95"/>
      <c r="AI110" s="232">
        <v>114</v>
      </c>
      <c r="AJ110" s="51" t="s">
        <v>399</v>
      </c>
      <c r="AK110" s="51">
        <v>43621</v>
      </c>
      <c r="AL110" s="241">
        <v>93834.442578163638</v>
      </c>
    </row>
    <row r="111" spans="1:43" x14ac:dyDescent="0.2">
      <c r="A111" s="49">
        <v>116</v>
      </c>
      <c r="B111" s="203">
        <v>13181179.077823399</v>
      </c>
      <c r="C111" s="204">
        <v>83746.649999999994</v>
      </c>
      <c r="D111" s="204">
        <v>0</v>
      </c>
      <c r="E111" s="204">
        <v>0</v>
      </c>
      <c r="F111" s="204">
        <v>0</v>
      </c>
      <c r="G111" s="205">
        <v>13264925.727823399</v>
      </c>
      <c r="H111" s="206">
        <v>2207123.48</v>
      </c>
      <c r="I111" s="204">
        <v>3440961.6200000006</v>
      </c>
      <c r="J111" s="204">
        <v>0</v>
      </c>
      <c r="K111" s="204">
        <v>0</v>
      </c>
      <c r="L111" s="204">
        <v>0</v>
      </c>
      <c r="M111" s="207">
        <v>3440961.6200000006</v>
      </c>
      <c r="N111" s="205">
        <v>7106070.0799999982</v>
      </c>
      <c r="O111" s="204">
        <v>0</v>
      </c>
      <c r="P111" s="206">
        <v>26019080.907823399</v>
      </c>
      <c r="Q111" s="245">
        <v>2019.45</v>
      </c>
      <c r="S111" s="87">
        <f t="shared" si="10"/>
        <v>2253467.4725473444</v>
      </c>
      <c r="T111" s="61">
        <f t="shared" si="9"/>
        <v>2453664.357021369</v>
      </c>
      <c r="Z111" s="49">
        <v>115</v>
      </c>
      <c r="AA111" s="51" t="s">
        <v>400</v>
      </c>
      <c r="AB111" s="95">
        <v>10961721.510855552</v>
      </c>
      <c r="AC111" s="91"/>
      <c r="AD111" s="51">
        <v>115</v>
      </c>
      <c r="AE111" s="51" t="s">
        <v>400</v>
      </c>
      <c r="AF111" s="95">
        <v>11678652.351663994</v>
      </c>
      <c r="AH111" s="95"/>
      <c r="AI111" s="232">
        <v>115</v>
      </c>
      <c r="AJ111" s="51" t="s">
        <v>400</v>
      </c>
      <c r="AK111" s="51">
        <v>174077</v>
      </c>
      <c r="AL111" s="241">
        <v>127228.19052147567</v>
      </c>
      <c r="AQ111" s="230"/>
    </row>
    <row r="112" spans="1:43" x14ac:dyDescent="0.2">
      <c r="A112" s="49">
        <v>117</v>
      </c>
      <c r="B112" s="203">
        <v>161615764.75289986</v>
      </c>
      <c r="C112" s="204">
        <v>2127318</v>
      </c>
      <c r="D112" s="204">
        <v>2127318</v>
      </c>
      <c r="E112" s="204">
        <v>0</v>
      </c>
      <c r="F112" s="204">
        <v>0</v>
      </c>
      <c r="G112" s="205">
        <v>161615764.75289986</v>
      </c>
      <c r="H112" s="206">
        <v>28130815.539999999</v>
      </c>
      <c r="I112" s="204">
        <v>38128069</v>
      </c>
      <c r="J112" s="204">
        <v>0</v>
      </c>
      <c r="K112" s="204">
        <v>0</v>
      </c>
      <c r="L112" s="204">
        <v>0</v>
      </c>
      <c r="M112" s="207">
        <v>38128069</v>
      </c>
      <c r="N112" s="205">
        <v>112719012.70000005</v>
      </c>
      <c r="O112" s="204">
        <v>0</v>
      </c>
      <c r="P112" s="206">
        <v>340593661.99289989</v>
      </c>
      <c r="Q112" s="245">
        <v>28508.309999999998</v>
      </c>
      <c r="S112" s="87">
        <f t="shared" si="10"/>
        <v>30216419.049521957</v>
      </c>
      <c r="T112" s="61">
        <f t="shared" si="9"/>
        <v>31315490.900765639</v>
      </c>
      <c r="Z112" s="49">
        <v>116</v>
      </c>
      <c r="AA112" s="51" t="s">
        <v>401</v>
      </c>
      <c r="AB112" s="95">
        <v>2253467.4725473444</v>
      </c>
      <c r="AC112" s="91"/>
      <c r="AD112" s="51">
        <v>116</v>
      </c>
      <c r="AE112" s="51" t="s">
        <v>401</v>
      </c>
      <c r="AF112" s="95">
        <v>2453664.357021369</v>
      </c>
      <c r="AH112" s="95"/>
      <c r="AI112" s="232">
        <v>116</v>
      </c>
      <c r="AJ112" s="51" t="s">
        <v>401</v>
      </c>
      <c r="AK112" s="51">
        <v>80087</v>
      </c>
      <c r="AL112" s="241">
        <v>76305.737823396747</v>
      </c>
    </row>
    <row r="113" spans="1:43" x14ac:dyDescent="0.2">
      <c r="A113" s="49">
        <v>118</v>
      </c>
      <c r="B113" s="203">
        <v>160240012.82807979</v>
      </c>
      <c r="C113" s="204">
        <v>0</v>
      </c>
      <c r="D113" s="204">
        <v>0</v>
      </c>
      <c r="E113" s="204">
        <v>0</v>
      </c>
      <c r="F113" s="204">
        <v>0</v>
      </c>
      <c r="G113" s="205">
        <v>160240012.82807979</v>
      </c>
      <c r="H113" s="206">
        <v>30899041.140000001</v>
      </c>
      <c r="I113" s="204">
        <v>49961705.120000005</v>
      </c>
      <c r="J113" s="204">
        <v>0</v>
      </c>
      <c r="K113" s="204">
        <v>0</v>
      </c>
      <c r="L113" s="204">
        <v>0</v>
      </c>
      <c r="M113" s="207">
        <v>49961705.120000005</v>
      </c>
      <c r="N113" s="205">
        <v>119261537.20999998</v>
      </c>
      <c r="O113" s="204">
        <v>0</v>
      </c>
      <c r="P113" s="206">
        <v>360362296.29807979</v>
      </c>
      <c r="Q113" s="245">
        <v>30402.639999999999</v>
      </c>
      <c r="S113" s="87">
        <f t="shared" si="10"/>
        <v>33872123.960112318</v>
      </c>
      <c r="T113" s="61">
        <f t="shared" ref="T113:T123" si="11">VLOOKUP($A113,$AD$3:$AF$138,3,FALSE)</f>
        <v>34899590.120623216</v>
      </c>
      <c r="Z113" s="49">
        <v>117</v>
      </c>
      <c r="AA113" s="51" t="s">
        <v>402</v>
      </c>
      <c r="AB113" s="95">
        <v>30216419.049521957</v>
      </c>
      <c r="AC113" s="91"/>
      <c r="AD113" s="51">
        <v>117</v>
      </c>
      <c r="AE113" s="51" t="s">
        <v>402</v>
      </c>
      <c r="AF113" s="95">
        <v>31315490.900765639</v>
      </c>
      <c r="AH113" s="95"/>
      <c r="AI113" s="232">
        <v>117</v>
      </c>
      <c r="AJ113" s="51" t="s">
        <v>402</v>
      </c>
      <c r="AK113" s="51">
        <v>843671</v>
      </c>
      <c r="AL113" s="241">
        <v>54024.702899883516</v>
      </c>
      <c r="AQ113" s="230"/>
    </row>
    <row r="114" spans="1:43" x14ac:dyDescent="0.2">
      <c r="A114" s="49">
        <v>119</v>
      </c>
      <c r="B114" s="203">
        <v>4449083.1291093621</v>
      </c>
      <c r="C114" s="204">
        <v>141168.95999999999</v>
      </c>
      <c r="D114" s="204">
        <v>169978.96</v>
      </c>
      <c r="E114" s="204">
        <v>105433.87</v>
      </c>
      <c r="F114" s="204">
        <v>0</v>
      </c>
      <c r="G114" s="205">
        <v>4314839.259109362</v>
      </c>
      <c r="H114" s="206">
        <v>745573.58</v>
      </c>
      <c r="I114" s="204">
        <v>877704.11</v>
      </c>
      <c r="J114" s="204">
        <v>0</v>
      </c>
      <c r="K114" s="204">
        <v>0</v>
      </c>
      <c r="L114" s="204">
        <v>0</v>
      </c>
      <c r="M114" s="207">
        <v>877704.11</v>
      </c>
      <c r="N114" s="205">
        <v>1477194.7399999984</v>
      </c>
      <c r="O114" s="204">
        <v>0</v>
      </c>
      <c r="P114" s="206">
        <v>7415311.6891093608</v>
      </c>
      <c r="Q114" s="245">
        <v>804.31000000000006</v>
      </c>
      <c r="S114" s="87">
        <f t="shared" si="10"/>
        <v>753253.18787182879</v>
      </c>
      <c r="T114" s="61">
        <f t="shared" si="11"/>
        <v>754250.21630170092</v>
      </c>
      <c r="Z114" s="49">
        <v>118</v>
      </c>
      <c r="AA114" s="51" t="s">
        <v>403</v>
      </c>
      <c r="AB114" s="95">
        <v>33872123.960112318</v>
      </c>
      <c r="AC114" s="91"/>
      <c r="AD114" s="51">
        <v>118</v>
      </c>
      <c r="AE114" s="51" t="s">
        <v>403</v>
      </c>
      <c r="AF114" s="95">
        <v>34899590.120623216</v>
      </c>
      <c r="AH114" s="95"/>
      <c r="AI114" s="232">
        <v>118</v>
      </c>
      <c r="AJ114" s="51" t="s">
        <v>403</v>
      </c>
      <c r="AK114" s="51">
        <v>224704</v>
      </c>
      <c r="AL114" s="241">
        <v>198259.43807979586</v>
      </c>
      <c r="AQ114" s="230"/>
    </row>
    <row r="115" spans="1:43" x14ac:dyDescent="0.2">
      <c r="A115" s="49">
        <v>120</v>
      </c>
      <c r="B115" s="203">
        <v>27354987.689580806</v>
      </c>
      <c r="C115" s="204">
        <v>0</v>
      </c>
      <c r="D115" s="204">
        <v>0</v>
      </c>
      <c r="E115" s="204">
        <v>57551.77</v>
      </c>
      <c r="F115" s="204">
        <v>156871</v>
      </c>
      <c r="G115" s="205">
        <v>27140564.919580806</v>
      </c>
      <c r="H115" s="206">
        <v>4227588.8600000003</v>
      </c>
      <c r="I115" s="204">
        <v>10934065.65</v>
      </c>
      <c r="J115" s="204">
        <v>0</v>
      </c>
      <c r="K115" s="204">
        <v>0</v>
      </c>
      <c r="L115" s="204">
        <v>16436</v>
      </c>
      <c r="M115" s="207">
        <v>10917629.65</v>
      </c>
      <c r="N115" s="205">
        <v>9139922.1700000018</v>
      </c>
      <c r="O115" s="204">
        <v>0</v>
      </c>
      <c r="P115" s="206">
        <v>51425705.599580809</v>
      </c>
      <c r="Q115" s="245">
        <v>4132.75</v>
      </c>
      <c r="S115" s="87">
        <f t="shared" si="10"/>
        <v>4524912.3481465233</v>
      </c>
      <c r="T115" s="61">
        <f t="shared" si="11"/>
        <v>4767199.9332086314</v>
      </c>
      <c r="Z115" s="49">
        <v>119</v>
      </c>
      <c r="AA115" s="51" t="s">
        <v>404</v>
      </c>
      <c r="AB115" s="95">
        <v>753253.18787182879</v>
      </c>
      <c r="AC115" s="91"/>
      <c r="AD115" s="51">
        <v>119</v>
      </c>
      <c r="AE115" s="51" t="s">
        <v>404</v>
      </c>
      <c r="AF115" s="95">
        <v>754250.21630170092</v>
      </c>
      <c r="AH115" s="95"/>
      <c r="AI115" s="232">
        <v>119</v>
      </c>
      <c r="AJ115" s="51" t="s">
        <v>404</v>
      </c>
      <c r="AK115" s="51">
        <v>61232</v>
      </c>
      <c r="AL115" s="241">
        <v>58519.849109361108</v>
      </c>
    </row>
    <row r="116" spans="1:43" x14ac:dyDescent="0.2">
      <c r="A116" s="49">
        <v>121</v>
      </c>
      <c r="B116" s="203">
        <v>81418293.754959464</v>
      </c>
      <c r="C116" s="204">
        <v>0</v>
      </c>
      <c r="D116" s="204">
        <v>0</v>
      </c>
      <c r="E116" s="204">
        <v>574020.03</v>
      </c>
      <c r="F116" s="204">
        <v>1064992.6299999999</v>
      </c>
      <c r="G116" s="205">
        <v>79779281.094959468</v>
      </c>
      <c r="H116" s="206">
        <v>15511059.48</v>
      </c>
      <c r="I116" s="204">
        <v>19657080.539999995</v>
      </c>
      <c r="J116" s="204">
        <v>0</v>
      </c>
      <c r="K116" s="204">
        <v>0</v>
      </c>
      <c r="L116" s="204">
        <v>276909.69</v>
      </c>
      <c r="M116" s="207">
        <v>19380170.849999994</v>
      </c>
      <c r="N116" s="205">
        <v>53730399.920000002</v>
      </c>
      <c r="O116" s="204">
        <v>83693</v>
      </c>
      <c r="P116" s="206">
        <v>168400911.34495947</v>
      </c>
      <c r="Q116" s="245">
        <v>14136.849999999999</v>
      </c>
      <c r="S116" s="87">
        <f t="shared" si="10"/>
        <v>15930675.714382365</v>
      </c>
      <c r="T116" s="61">
        <f t="shared" si="11"/>
        <v>16383781.81819443</v>
      </c>
      <c r="Z116" s="49">
        <v>120</v>
      </c>
      <c r="AA116" s="51" t="s">
        <v>405</v>
      </c>
      <c r="AB116" s="95">
        <v>4524912.3481465233</v>
      </c>
      <c r="AC116" s="91"/>
      <c r="AD116" s="51">
        <v>120</v>
      </c>
      <c r="AE116" s="51" t="s">
        <v>405</v>
      </c>
      <c r="AF116" s="95">
        <v>4767199.9332086314</v>
      </c>
      <c r="AH116" s="95"/>
      <c r="AI116" s="232">
        <v>120</v>
      </c>
      <c r="AJ116" s="51" t="s">
        <v>405</v>
      </c>
      <c r="AK116" s="51">
        <v>64618</v>
      </c>
      <c r="AL116" s="241">
        <v>321666.6095808039</v>
      </c>
      <c r="AQ116" s="230"/>
    </row>
    <row r="117" spans="1:43" x14ac:dyDescent="0.2">
      <c r="A117" s="49">
        <v>122</v>
      </c>
      <c r="B117" s="203">
        <v>9023461.3156188</v>
      </c>
      <c r="C117" s="204">
        <v>0</v>
      </c>
      <c r="D117" s="204">
        <v>0</v>
      </c>
      <c r="E117" s="204">
        <v>52359.88</v>
      </c>
      <c r="F117" s="204">
        <v>0</v>
      </c>
      <c r="G117" s="205">
        <v>8971101.4356187992</v>
      </c>
      <c r="H117" s="206">
        <v>1676682.6</v>
      </c>
      <c r="I117" s="204">
        <v>1563451.6</v>
      </c>
      <c r="J117" s="204">
        <v>0</v>
      </c>
      <c r="K117" s="204">
        <v>0</v>
      </c>
      <c r="L117" s="204">
        <v>0</v>
      </c>
      <c r="M117" s="207">
        <v>1563451.6</v>
      </c>
      <c r="N117" s="205">
        <v>5026860.9899999984</v>
      </c>
      <c r="O117" s="204">
        <v>0</v>
      </c>
      <c r="P117" s="206">
        <v>17238096.625618797</v>
      </c>
      <c r="Q117" s="245">
        <v>1618.2299999999998</v>
      </c>
      <c r="S117" s="87">
        <f t="shared" si="10"/>
        <v>1681786.0554990354</v>
      </c>
      <c r="T117" s="61">
        <f t="shared" si="11"/>
        <v>1720104.2962790662</v>
      </c>
      <c r="Z117" s="49">
        <v>121</v>
      </c>
      <c r="AA117" s="51" t="s">
        <v>406</v>
      </c>
      <c r="AB117" s="95">
        <v>15930675.714382365</v>
      </c>
      <c r="AC117" s="91"/>
      <c r="AD117" s="51">
        <v>121</v>
      </c>
      <c r="AE117" s="51" t="s">
        <v>406</v>
      </c>
      <c r="AF117" s="95">
        <v>16383781.81819443</v>
      </c>
      <c r="AH117" s="95"/>
      <c r="AI117" s="232">
        <v>121</v>
      </c>
      <c r="AJ117" s="51" t="s">
        <v>406</v>
      </c>
      <c r="AK117" s="51">
        <v>29335</v>
      </c>
      <c r="AL117" s="241">
        <v>82401.024959464135</v>
      </c>
    </row>
    <row r="118" spans="1:43" x14ac:dyDescent="0.2">
      <c r="A118" s="49">
        <v>123</v>
      </c>
      <c r="B118" s="203">
        <v>120288470.6612585</v>
      </c>
      <c r="C118" s="204">
        <v>0</v>
      </c>
      <c r="D118" s="204">
        <v>0</v>
      </c>
      <c r="E118" s="204">
        <v>2108096.04</v>
      </c>
      <c r="F118" s="204">
        <v>2366633</v>
      </c>
      <c r="G118" s="205">
        <v>115813741.6212585</v>
      </c>
      <c r="H118" s="206">
        <v>26440645.59</v>
      </c>
      <c r="I118" s="204">
        <v>63100886.770000003</v>
      </c>
      <c r="J118" s="204">
        <v>0</v>
      </c>
      <c r="K118" s="204">
        <v>0</v>
      </c>
      <c r="L118" s="204">
        <v>704444.12</v>
      </c>
      <c r="M118" s="207">
        <v>62396442.650000006</v>
      </c>
      <c r="N118" s="205">
        <v>153318147.06999999</v>
      </c>
      <c r="O118" s="204">
        <v>0</v>
      </c>
      <c r="P118" s="206">
        <v>357968976.9312585</v>
      </c>
      <c r="Q118" s="245">
        <v>24693.300000000003</v>
      </c>
      <c r="S118" s="87">
        <f t="shared" si="10"/>
        <v>27314866.196956009</v>
      </c>
      <c r="T118" s="61">
        <f t="shared" si="11"/>
        <v>28247705.108276673</v>
      </c>
      <c r="Z118" s="49">
        <v>122</v>
      </c>
      <c r="AA118" s="51" t="s">
        <v>407</v>
      </c>
      <c r="AB118" s="95">
        <v>1681786.0554990354</v>
      </c>
      <c r="AC118" s="91"/>
      <c r="AD118" s="51">
        <v>122</v>
      </c>
      <c r="AE118" s="51" t="s">
        <v>407</v>
      </c>
      <c r="AF118" s="95">
        <v>1720104.2962790662</v>
      </c>
      <c r="AH118" s="95"/>
      <c r="AI118" s="232">
        <v>122</v>
      </c>
      <c r="AJ118" s="51" t="s">
        <v>407</v>
      </c>
      <c r="AK118" s="51">
        <v>17450</v>
      </c>
      <c r="AL118" s="241">
        <v>19796.065618799104</v>
      </c>
    </row>
    <row r="119" spans="1:43" x14ac:dyDescent="0.2">
      <c r="A119" s="49">
        <v>124</v>
      </c>
      <c r="B119" s="203">
        <v>76196497.403798625</v>
      </c>
      <c r="C119" s="204">
        <v>0</v>
      </c>
      <c r="D119" s="204">
        <v>0</v>
      </c>
      <c r="E119" s="204">
        <v>0</v>
      </c>
      <c r="F119" s="204">
        <v>769803</v>
      </c>
      <c r="G119" s="205">
        <v>75426694.403798625</v>
      </c>
      <c r="H119" s="206">
        <v>14369198.619999999</v>
      </c>
      <c r="I119" s="204">
        <v>23189931.229999993</v>
      </c>
      <c r="J119" s="204">
        <v>0</v>
      </c>
      <c r="K119" s="204">
        <v>0</v>
      </c>
      <c r="L119" s="204">
        <v>0</v>
      </c>
      <c r="M119" s="207">
        <v>23189931.229999993</v>
      </c>
      <c r="N119" s="205">
        <v>68673701.690000013</v>
      </c>
      <c r="O119" s="204">
        <v>7020</v>
      </c>
      <c r="P119" s="206">
        <v>181659525.94379863</v>
      </c>
      <c r="Q119" s="245">
        <v>13601.209999999997</v>
      </c>
      <c r="S119" s="87">
        <f t="shared" si="10"/>
        <v>15696969.474708527</v>
      </c>
      <c r="T119" s="61">
        <f t="shared" si="11"/>
        <v>16550243.524285952</v>
      </c>
      <c r="Z119" s="49">
        <v>123</v>
      </c>
      <c r="AA119" s="51" t="s">
        <v>408</v>
      </c>
      <c r="AB119" s="95">
        <v>27314866.196956009</v>
      </c>
      <c r="AC119" s="91"/>
      <c r="AD119" s="51">
        <v>123</v>
      </c>
      <c r="AE119" s="51" t="s">
        <v>408</v>
      </c>
      <c r="AF119" s="95">
        <v>28247705.108276673</v>
      </c>
      <c r="AH119" s="95"/>
      <c r="AI119" s="232">
        <v>123</v>
      </c>
      <c r="AJ119" s="51" t="s">
        <v>408</v>
      </c>
      <c r="AK119" s="51">
        <v>59059</v>
      </c>
      <c r="AL119" s="241">
        <v>788789.35125849769</v>
      </c>
      <c r="AQ119" s="230"/>
    </row>
    <row r="120" spans="1:43" x14ac:dyDescent="0.2">
      <c r="A120" s="49">
        <v>126</v>
      </c>
      <c r="B120" s="203">
        <v>12832059.11170557</v>
      </c>
      <c r="C120" s="204">
        <v>0</v>
      </c>
      <c r="D120" s="204">
        <v>0</v>
      </c>
      <c r="E120" s="204">
        <v>21773.22</v>
      </c>
      <c r="F120" s="204">
        <v>390312</v>
      </c>
      <c r="G120" s="205">
        <v>12419973.891705569</v>
      </c>
      <c r="H120" s="206">
        <v>3413456.16</v>
      </c>
      <c r="I120" s="204">
        <v>2850528.5000000005</v>
      </c>
      <c r="J120" s="204">
        <v>0</v>
      </c>
      <c r="K120" s="204">
        <v>0</v>
      </c>
      <c r="L120" s="204">
        <v>0</v>
      </c>
      <c r="M120" s="207">
        <v>2850528.5000000005</v>
      </c>
      <c r="N120" s="205">
        <v>12064960</v>
      </c>
      <c r="O120" s="204">
        <v>1534688.45</v>
      </c>
      <c r="P120" s="206">
        <v>30748918.551705569</v>
      </c>
      <c r="Q120" s="245">
        <v>2678.85</v>
      </c>
      <c r="S120" s="87">
        <f t="shared" si="10"/>
        <v>3337504.8765729121</v>
      </c>
      <c r="T120" s="61">
        <f t="shared" si="11"/>
        <v>3614193.9915803452</v>
      </c>
      <c r="Z120" s="49">
        <v>124</v>
      </c>
      <c r="AA120" s="51" t="s">
        <v>409</v>
      </c>
      <c r="AB120" s="95">
        <v>15696969.474708527</v>
      </c>
      <c r="AC120" s="91"/>
      <c r="AD120" s="51">
        <v>124</v>
      </c>
      <c r="AE120" s="51" t="s">
        <v>409</v>
      </c>
      <c r="AF120" s="95">
        <v>16550243.524285952</v>
      </c>
      <c r="AH120" s="95"/>
      <c r="AI120" s="232">
        <v>124</v>
      </c>
      <c r="AJ120" s="51" t="s">
        <v>409</v>
      </c>
      <c r="AK120" s="51">
        <v>190512</v>
      </c>
      <c r="AL120" s="241">
        <v>222166.22379863716</v>
      </c>
      <c r="AQ120" s="230"/>
    </row>
    <row r="121" spans="1:43" x14ac:dyDescent="0.2">
      <c r="A121" s="49">
        <v>127</v>
      </c>
      <c r="B121" s="203">
        <v>67572718.284754798</v>
      </c>
      <c r="C121" s="204">
        <v>0</v>
      </c>
      <c r="D121" s="204">
        <v>0</v>
      </c>
      <c r="E121" s="204">
        <v>453369</v>
      </c>
      <c r="F121" s="204">
        <v>0</v>
      </c>
      <c r="G121" s="205">
        <v>67119349.284754798</v>
      </c>
      <c r="H121" s="206">
        <v>16898295.460000001</v>
      </c>
      <c r="I121" s="204">
        <v>13504824.930000002</v>
      </c>
      <c r="J121" s="204">
        <v>0</v>
      </c>
      <c r="K121" s="204">
        <v>0</v>
      </c>
      <c r="L121" s="204">
        <v>0</v>
      </c>
      <c r="M121" s="207">
        <v>13504824.930000002</v>
      </c>
      <c r="N121" s="205">
        <v>56831711.449999988</v>
      </c>
      <c r="O121" s="204">
        <v>155975.17000000001</v>
      </c>
      <c r="P121" s="206">
        <v>154354181.12475479</v>
      </c>
      <c r="Q121" s="245">
        <v>14335.789999999999</v>
      </c>
      <c r="S121" s="87">
        <f t="shared" si="10"/>
        <v>17202576.980299596</v>
      </c>
      <c r="T121" s="61">
        <f t="shared" si="11"/>
        <v>17854663.786144383</v>
      </c>
      <c r="Z121" s="49">
        <v>126</v>
      </c>
      <c r="AA121" s="51" t="s">
        <v>410</v>
      </c>
      <c r="AB121" s="95">
        <v>3337504.8765729121</v>
      </c>
      <c r="AC121" s="91"/>
      <c r="AD121" s="51">
        <v>126</v>
      </c>
      <c r="AE121" s="51" t="s">
        <v>410</v>
      </c>
      <c r="AF121" s="95">
        <v>3614193.9915803452</v>
      </c>
      <c r="AH121" s="95"/>
      <c r="AI121" s="232">
        <v>126</v>
      </c>
      <c r="AJ121" s="51" t="s">
        <v>410</v>
      </c>
      <c r="AK121" s="51">
        <v>132278</v>
      </c>
      <c r="AL121" s="241">
        <v>105322.03170556997</v>
      </c>
      <c r="AQ121" s="230"/>
    </row>
    <row r="122" spans="1:43" x14ac:dyDescent="0.2">
      <c r="A122" s="49">
        <v>128</v>
      </c>
      <c r="B122" s="203">
        <v>290762843.24203581</v>
      </c>
      <c r="C122" s="204">
        <v>646985.43000000005</v>
      </c>
      <c r="D122" s="204">
        <v>1099046.8</v>
      </c>
      <c r="E122" s="204">
        <v>37500</v>
      </c>
      <c r="F122" s="204">
        <v>0</v>
      </c>
      <c r="G122" s="205">
        <v>290273281.8720358</v>
      </c>
      <c r="H122" s="206">
        <v>74264874.480000004</v>
      </c>
      <c r="I122" s="204">
        <v>60287483.779999994</v>
      </c>
      <c r="J122" s="204">
        <v>0</v>
      </c>
      <c r="K122" s="204">
        <v>0</v>
      </c>
      <c r="L122" s="204">
        <v>18410</v>
      </c>
      <c r="M122" s="207">
        <v>60269073.779999994</v>
      </c>
      <c r="N122" s="205">
        <v>402423382.13000005</v>
      </c>
      <c r="O122" s="204">
        <v>381293.27</v>
      </c>
      <c r="P122" s="206">
        <v>827230612.26203585</v>
      </c>
      <c r="Q122" s="245">
        <v>68808.11</v>
      </c>
      <c r="S122" s="87">
        <f t="shared" si="10"/>
        <v>75921269.69835116</v>
      </c>
      <c r="T122" s="61">
        <f t="shared" si="11"/>
        <v>78981847.463153929</v>
      </c>
      <c r="Z122" s="49">
        <v>127</v>
      </c>
      <c r="AA122" s="51" t="s">
        <v>411</v>
      </c>
      <c r="AB122" s="95">
        <v>17202576.980299596</v>
      </c>
      <c r="AC122" s="91"/>
      <c r="AD122" s="51">
        <v>127</v>
      </c>
      <c r="AE122" s="51" t="s">
        <v>411</v>
      </c>
      <c r="AF122" s="95">
        <v>17854663.786144383</v>
      </c>
      <c r="AH122" s="95"/>
      <c r="AI122" s="232">
        <v>127</v>
      </c>
      <c r="AJ122" s="51" t="s">
        <v>411</v>
      </c>
      <c r="AK122" s="51">
        <v>45729</v>
      </c>
      <c r="AL122" s="241">
        <v>117334.72475479121</v>
      </c>
    </row>
    <row r="123" spans="1:43" x14ac:dyDescent="0.2">
      <c r="A123" s="49">
        <v>130</v>
      </c>
      <c r="B123" s="203">
        <v>14540772.8962023</v>
      </c>
      <c r="C123" s="204">
        <v>0</v>
      </c>
      <c r="D123" s="204">
        <v>0</v>
      </c>
      <c r="E123" s="204">
        <v>0</v>
      </c>
      <c r="F123" s="204">
        <v>0</v>
      </c>
      <c r="G123" s="205">
        <v>14540772.8962023</v>
      </c>
      <c r="H123" s="206">
        <v>3391198.78</v>
      </c>
      <c r="I123" s="204">
        <v>3504852.3800000004</v>
      </c>
      <c r="J123" s="204">
        <v>0</v>
      </c>
      <c r="K123" s="204">
        <v>0</v>
      </c>
      <c r="L123" s="204">
        <v>0</v>
      </c>
      <c r="M123" s="207">
        <v>3504852.3800000004</v>
      </c>
      <c r="N123" s="205">
        <v>14846988.309999995</v>
      </c>
      <c r="O123" s="204">
        <v>694220.97</v>
      </c>
      <c r="P123" s="206">
        <v>36283812.366202295</v>
      </c>
      <c r="Q123" s="245">
        <v>3053.93</v>
      </c>
      <c r="S123" s="87">
        <f t="shared" si="10"/>
        <v>3682671.0151681178</v>
      </c>
      <c r="T123" s="61">
        <f t="shared" si="11"/>
        <v>3876582.7825381691</v>
      </c>
      <c r="Z123" s="49">
        <v>128</v>
      </c>
      <c r="AA123" s="51" t="s">
        <v>412</v>
      </c>
      <c r="AB123" s="95">
        <v>75921269.69835116</v>
      </c>
      <c r="AC123" s="91"/>
      <c r="AD123" s="51">
        <v>128</v>
      </c>
      <c r="AE123" s="51" t="s">
        <v>412</v>
      </c>
      <c r="AF123" s="95">
        <v>78981847.463153929</v>
      </c>
      <c r="AH123" s="95"/>
      <c r="AI123" s="232">
        <v>128</v>
      </c>
      <c r="AJ123" s="51" t="s">
        <v>412</v>
      </c>
      <c r="AK123" s="51">
        <v>155047</v>
      </c>
      <c r="AL123" s="241">
        <v>458043.21203583106</v>
      </c>
    </row>
    <row r="124" spans="1:43" x14ac:dyDescent="0.2">
      <c r="A124" s="49">
        <v>131</v>
      </c>
      <c r="B124" s="208">
        <v>34132915.253398933</v>
      </c>
      <c r="C124" s="208">
        <v>0</v>
      </c>
      <c r="D124" s="208">
        <v>0</v>
      </c>
      <c r="E124" s="208">
        <v>1447160.63</v>
      </c>
      <c r="F124" s="208">
        <v>0</v>
      </c>
      <c r="G124" s="211">
        <v>32685754.623398934</v>
      </c>
      <c r="H124" s="212">
        <v>12201274.34</v>
      </c>
      <c r="I124" s="209">
        <v>6146152.2400000012</v>
      </c>
      <c r="J124" s="210">
        <v>20582.32</v>
      </c>
      <c r="K124" s="210">
        <v>0</v>
      </c>
      <c r="L124" s="210">
        <v>282109.52</v>
      </c>
      <c r="M124" s="209">
        <v>5884625.040000001</v>
      </c>
      <c r="N124" s="211">
        <v>87210249.880000025</v>
      </c>
      <c r="O124" s="204">
        <v>120291778</v>
      </c>
      <c r="P124" s="212">
        <v>137981903.88339895</v>
      </c>
      <c r="Q124" s="246">
        <v>1028.54</v>
      </c>
      <c r="R124" s="61"/>
      <c r="S124" s="87">
        <f>VLOOKUP(A124,$Z$3:$AB$138,3,FALSE)+VLOOKUP(47,$Z$3:$AB$138,3,FALSE)</f>
        <v>13188222.878825147</v>
      </c>
      <c r="T124" s="61">
        <f>VLOOKUP($A124,$AD$3:$AF$138,3,FALSE)+VLOOKUP(47,$AD$3:$AF$138,3,FALSE)</f>
        <v>14091876.859182904</v>
      </c>
      <c r="Z124" s="49">
        <v>130</v>
      </c>
      <c r="AA124" s="51" t="s">
        <v>413</v>
      </c>
      <c r="AB124" s="95">
        <v>3682671.0151681178</v>
      </c>
      <c r="AC124" s="91"/>
      <c r="AD124" s="51">
        <v>130</v>
      </c>
      <c r="AE124" s="51" t="s">
        <v>413</v>
      </c>
      <c r="AF124" s="95">
        <v>3876582.7825381691</v>
      </c>
      <c r="AH124" s="95"/>
      <c r="AI124" s="232">
        <v>130</v>
      </c>
      <c r="AJ124" s="51" t="s">
        <v>413</v>
      </c>
      <c r="AK124" s="51">
        <v>91031</v>
      </c>
      <c r="AL124" s="241">
        <v>109946.50620229715</v>
      </c>
    </row>
    <row r="125" spans="1:43" x14ac:dyDescent="0.2">
      <c r="A125" s="49">
        <v>132</v>
      </c>
      <c r="B125" s="203">
        <v>19911596.329162508</v>
      </c>
      <c r="C125" s="204">
        <v>0</v>
      </c>
      <c r="D125" s="204">
        <v>0</v>
      </c>
      <c r="E125" s="204">
        <v>44486</v>
      </c>
      <c r="F125" s="204">
        <v>0</v>
      </c>
      <c r="G125" s="205">
        <v>19867110.329162508</v>
      </c>
      <c r="H125" s="206">
        <v>4087822.36</v>
      </c>
      <c r="I125" s="204">
        <v>4842936.66</v>
      </c>
      <c r="J125" s="204">
        <v>0</v>
      </c>
      <c r="K125" s="204">
        <v>0</v>
      </c>
      <c r="L125" s="204">
        <v>49339.360000000001</v>
      </c>
      <c r="M125" s="207">
        <v>4793597.3</v>
      </c>
      <c r="N125" s="205">
        <v>30350522.449999999</v>
      </c>
      <c r="O125" s="204">
        <v>1344.52</v>
      </c>
      <c r="P125" s="206">
        <v>59099052.439162508</v>
      </c>
      <c r="Q125" s="245">
        <v>4333.5099999999993</v>
      </c>
      <c r="S125" s="87">
        <f t="shared" si="10"/>
        <v>4448508.3851762302</v>
      </c>
      <c r="T125" s="61">
        <f>VLOOKUP($A125,$AD$3:$AF$138,3,FALSE)</f>
        <v>4921435.6382877827</v>
      </c>
      <c r="Z125" s="49">
        <v>131</v>
      </c>
      <c r="AA125" s="51" t="s">
        <v>414</v>
      </c>
      <c r="AB125" s="95">
        <v>1279991.0972905541</v>
      </c>
      <c r="AC125" s="91"/>
      <c r="AD125" s="51">
        <v>131</v>
      </c>
      <c r="AE125" s="51" t="s">
        <v>414</v>
      </c>
      <c r="AF125" s="95">
        <v>1347681.4962098971</v>
      </c>
      <c r="AH125" s="95"/>
      <c r="AI125" s="232">
        <v>131</v>
      </c>
      <c r="AJ125" s="97" t="s">
        <v>414</v>
      </c>
      <c r="AK125" s="247">
        <v>0</v>
      </c>
      <c r="AL125" s="242">
        <v>33908.963398933236</v>
      </c>
      <c r="AM125" s="51" t="s">
        <v>623</v>
      </c>
    </row>
    <row r="126" spans="1:43" x14ac:dyDescent="0.2">
      <c r="A126" s="49">
        <v>134</v>
      </c>
      <c r="B126" s="213">
        <v>0</v>
      </c>
      <c r="C126" s="213">
        <v>0</v>
      </c>
      <c r="D126" s="213">
        <v>0</v>
      </c>
      <c r="E126" s="213">
        <v>0</v>
      </c>
      <c r="F126" s="213">
        <v>0</v>
      </c>
      <c r="G126" s="213">
        <v>0</v>
      </c>
      <c r="H126" s="206" t="s">
        <v>597</v>
      </c>
      <c r="I126" s="213">
        <v>0</v>
      </c>
      <c r="J126" s="213">
        <v>0</v>
      </c>
      <c r="K126" s="213">
        <v>0</v>
      </c>
      <c r="L126" s="213">
        <v>0</v>
      </c>
      <c r="M126" s="216">
        <v>0</v>
      </c>
      <c r="N126" s="214">
        <v>0</v>
      </c>
      <c r="O126" s="204">
        <v>0</v>
      </c>
      <c r="P126" s="214">
        <v>0</v>
      </c>
      <c r="Q126" s="246">
        <v>3153.52</v>
      </c>
      <c r="R126" s="61"/>
      <c r="S126" s="87" t="s">
        <v>597</v>
      </c>
      <c r="T126" s="61">
        <v>0</v>
      </c>
      <c r="Z126" s="49">
        <v>132</v>
      </c>
      <c r="AA126" s="51" t="s">
        <v>415</v>
      </c>
      <c r="AB126" s="95">
        <v>4448508.3851762302</v>
      </c>
      <c r="AC126" s="91"/>
      <c r="AD126" s="51">
        <v>132</v>
      </c>
      <c r="AE126" s="51" t="s">
        <v>415</v>
      </c>
      <c r="AF126" s="95">
        <v>4921435.6382877827</v>
      </c>
      <c r="AH126" s="95"/>
      <c r="AI126" s="232">
        <v>132</v>
      </c>
      <c r="AJ126" s="51" t="s">
        <v>415</v>
      </c>
      <c r="AK126" s="51">
        <v>0</v>
      </c>
      <c r="AL126" s="241">
        <v>27880.149162507892</v>
      </c>
    </row>
    <row r="127" spans="1:43" x14ac:dyDescent="0.2">
      <c r="A127" s="49">
        <v>135</v>
      </c>
      <c r="B127" s="203">
        <v>6987161.4262355622</v>
      </c>
      <c r="C127" s="204">
        <v>0</v>
      </c>
      <c r="D127" s="204">
        <v>0</v>
      </c>
      <c r="E127" s="204">
        <v>0</v>
      </c>
      <c r="F127" s="204">
        <v>0</v>
      </c>
      <c r="G127" s="205">
        <v>6987161.4262355622</v>
      </c>
      <c r="H127" s="206">
        <v>1489165.8</v>
      </c>
      <c r="I127" s="204">
        <v>2413428.4499999997</v>
      </c>
      <c r="J127" s="204">
        <v>0</v>
      </c>
      <c r="K127" s="204">
        <v>0</v>
      </c>
      <c r="L127" s="204">
        <v>0</v>
      </c>
      <c r="M127" s="207">
        <v>2413428.4499999997</v>
      </c>
      <c r="N127" s="205">
        <v>4335307.9000000004</v>
      </c>
      <c r="O127" s="204">
        <v>0</v>
      </c>
      <c r="P127" s="206">
        <v>15225063.576235563</v>
      </c>
      <c r="Q127" s="245">
        <v>1095.1899999999998</v>
      </c>
      <c r="S127" s="87">
        <f t="shared" si="10"/>
        <v>1502012.0249806994</v>
      </c>
      <c r="T127" s="61">
        <f>VLOOKUP($A127,$AD$3:$AF$138,3,FALSE)</f>
        <v>1600665.671004358</v>
      </c>
      <c r="Z127" s="49">
        <v>134</v>
      </c>
      <c r="AA127" s="51" t="s">
        <v>416</v>
      </c>
      <c r="AB127" s="95">
        <v>3464245.5680883387</v>
      </c>
      <c r="AC127" s="91"/>
      <c r="AD127" s="51">
        <v>134</v>
      </c>
      <c r="AE127" s="51" t="s">
        <v>416</v>
      </c>
      <c r="AF127" s="95">
        <v>3721406.6158426818</v>
      </c>
      <c r="AH127" s="95"/>
      <c r="AI127" s="232">
        <v>134</v>
      </c>
      <c r="AJ127" s="98" t="s">
        <v>416</v>
      </c>
      <c r="AK127" s="98">
        <v>0</v>
      </c>
      <c r="AL127" s="243">
        <v>20317.004848887736</v>
      </c>
      <c r="AM127" s="51" t="s">
        <v>626</v>
      </c>
    </row>
    <row r="128" spans="1:43" x14ac:dyDescent="0.2">
      <c r="A128" s="49">
        <v>136</v>
      </c>
      <c r="B128" s="203">
        <v>195459068.20298663</v>
      </c>
      <c r="C128" s="204">
        <v>0</v>
      </c>
      <c r="D128" s="204">
        <v>0</v>
      </c>
      <c r="E128" s="204">
        <v>179440.62</v>
      </c>
      <c r="F128" s="204">
        <v>0</v>
      </c>
      <c r="G128" s="205">
        <v>195279627.58298662</v>
      </c>
      <c r="H128" s="206">
        <v>44255465.340000004</v>
      </c>
      <c r="I128" s="204">
        <v>30414255.729999997</v>
      </c>
      <c r="J128" s="204">
        <v>0</v>
      </c>
      <c r="K128" s="204">
        <v>0</v>
      </c>
      <c r="L128" s="204">
        <v>0</v>
      </c>
      <c r="M128" s="207">
        <v>30414255.729999997</v>
      </c>
      <c r="N128" s="205">
        <v>203003147.36000001</v>
      </c>
      <c r="O128" s="204">
        <v>0</v>
      </c>
      <c r="P128" s="206">
        <v>472952496.01298666</v>
      </c>
      <c r="Q128" s="245">
        <v>40716.620000000003</v>
      </c>
      <c r="S128" s="87">
        <f t="shared" si="10"/>
        <v>45177213.86925789</v>
      </c>
      <c r="T128" s="61">
        <f>VLOOKUP($A128,$AD$3:$AF$138,3,FALSE)</f>
        <v>47889245.965459995</v>
      </c>
      <c r="Z128" s="49">
        <v>135</v>
      </c>
      <c r="AA128" s="51" t="s">
        <v>417</v>
      </c>
      <c r="AB128" s="95">
        <v>1502012.0249806994</v>
      </c>
      <c r="AC128" s="91"/>
      <c r="AD128" s="51">
        <v>135</v>
      </c>
      <c r="AE128" s="51" t="s">
        <v>417</v>
      </c>
      <c r="AF128" s="95">
        <v>1600665.671004358</v>
      </c>
      <c r="AH128" s="95"/>
      <c r="AI128" s="232">
        <v>135</v>
      </c>
      <c r="AJ128" s="51" t="s">
        <v>417</v>
      </c>
      <c r="AK128" s="51">
        <v>0</v>
      </c>
      <c r="AL128" s="241">
        <v>22673.656235561895</v>
      </c>
    </row>
    <row r="129" spans="1:43" x14ac:dyDescent="0.2">
      <c r="A129" s="49">
        <v>137</v>
      </c>
      <c r="B129" s="203">
        <v>2738252.76</v>
      </c>
      <c r="C129" s="204">
        <v>365527.26</v>
      </c>
      <c r="D129" s="204">
        <v>402975.49</v>
      </c>
      <c r="E129" s="204">
        <v>0</v>
      </c>
      <c r="F129" s="204">
        <v>0</v>
      </c>
      <c r="G129" s="205">
        <v>2700804.5299999993</v>
      </c>
      <c r="H129" s="206">
        <v>650276.24</v>
      </c>
      <c r="I129" s="204">
        <v>297567.43</v>
      </c>
      <c r="J129" s="204">
        <v>0</v>
      </c>
      <c r="K129" s="204">
        <v>0</v>
      </c>
      <c r="L129" s="204">
        <v>0</v>
      </c>
      <c r="M129" s="207">
        <v>297567.43</v>
      </c>
      <c r="N129" s="205">
        <v>3169145.3800000004</v>
      </c>
      <c r="O129" s="204">
        <v>0</v>
      </c>
      <c r="P129" s="206">
        <v>6817793.5800000001</v>
      </c>
      <c r="Q129" s="245">
        <v>659.43999999999994</v>
      </c>
      <c r="S129" s="87">
        <f t="shared" si="10"/>
        <v>654377.47108674387</v>
      </c>
      <c r="T129" s="61">
        <f>VLOOKUP($A129,$AD$3:$AF$138,3,FALSE)</f>
        <v>661790.13726796489</v>
      </c>
      <c r="Z129" s="49">
        <v>136</v>
      </c>
      <c r="AA129" s="51" t="s">
        <v>418</v>
      </c>
      <c r="AB129" s="95">
        <v>45177213.86925789</v>
      </c>
      <c r="AC129" s="91"/>
      <c r="AD129" s="51">
        <v>136</v>
      </c>
      <c r="AE129" s="51" t="s">
        <v>418</v>
      </c>
      <c r="AF129" s="95">
        <v>47889245.965459995</v>
      </c>
      <c r="AH129" s="95"/>
      <c r="AI129" s="232">
        <v>136</v>
      </c>
      <c r="AJ129" s="51" t="s">
        <v>418</v>
      </c>
      <c r="AK129" s="51">
        <v>124036</v>
      </c>
      <c r="AL129" s="241">
        <v>288566.84298662981</v>
      </c>
    </row>
    <row r="130" spans="1:43" x14ac:dyDescent="0.2">
      <c r="A130" s="49">
        <v>138</v>
      </c>
      <c r="B130" s="213">
        <v>0</v>
      </c>
      <c r="C130" s="213">
        <v>0</v>
      </c>
      <c r="D130" s="213">
        <v>0</v>
      </c>
      <c r="E130" s="213">
        <v>0</v>
      </c>
      <c r="F130" s="213">
        <v>0</v>
      </c>
      <c r="G130" s="213">
        <v>0</v>
      </c>
      <c r="H130" s="206" t="s">
        <v>597</v>
      </c>
      <c r="I130" s="213">
        <v>0</v>
      </c>
      <c r="J130" s="213">
        <v>0</v>
      </c>
      <c r="K130" s="213">
        <v>0</v>
      </c>
      <c r="L130" s="213">
        <v>0</v>
      </c>
      <c r="M130" s="216">
        <v>0</v>
      </c>
      <c r="N130" s="214">
        <v>0</v>
      </c>
      <c r="O130" s="204">
        <v>0</v>
      </c>
      <c r="P130" s="214">
        <v>0</v>
      </c>
      <c r="Q130" s="246">
        <v>1066.46</v>
      </c>
      <c r="R130" s="61"/>
      <c r="S130" s="87" t="s">
        <v>597</v>
      </c>
      <c r="T130" s="61">
        <v>0</v>
      </c>
      <c r="Z130" s="49">
        <v>137</v>
      </c>
      <c r="AA130" s="51" t="s">
        <v>419</v>
      </c>
      <c r="AB130" s="95">
        <v>654377.47108674387</v>
      </c>
      <c r="AC130" s="91"/>
      <c r="AD130" s="51">
        <v>137</v>
      </c>
      <c r="AE130" s="51" t="s">
        <v>419</v>
      </c>
      <c r="AF130" s="95">
        <v>661790.13726796489</v>
      </c>
      <c r="AH130" s="95"/>
      <c r="AI130" s="232">
        <v>137</v>
      </c>
      <c r="AJ130" s="51" t="s">
        <v>419</v>
      </c>
      <c r="AK130" s="51">
        <v>13684</v>
      </c>
      <c r="AL130" s="241">
        <v>0</v>
      </c>
    </row>
    <row r="131" spans="1:43" x14ac:dyDescent="0.2">
      <c r="A131" s="49">
        <v>139</v>
      </c>
      <c r="B131" s="203">
        <v>17579006.426169172</v>
      </c>
      <c r="C131" s="204">
        <v>9384.14</v>
      </c>
      <c r="D131" s="204">
        <v>7222.02</v>
      </c>
      <c r="E131" s="204">
        <v>22351.18</v>
      </c>
      <c r="F131" s="204">
        <v>76409.08</v>
      </c>
      <c r="G131" s="205">
        <v>17482408.286169175</v>
      </c>
      <c r="H131" s="206">
        <v>3611352.3</v>
      </c>
      <c r="I131" s="204">
        <v>2516434.6199999996</v>
      </c>
      <c r="J131" s="204">
        <v>0</v>
      </c>
      <c r="K131" s="204">
        <v>0</v>
      </c>
      <c r="L131" s="204">
        <v>0</v>
      </c>
      <c r="M131" s="207">
        <v>2516434.6199999996</v>
      </c>
      <c r="N131" s="205">
        <v>19936858.190000009</v>
      </c>
      <c r="O131" s="204">
        <v>80137.37</v>
      </c>
      <c r="P131" s="206">
        <v>43547053.396169186</v>
      </c>
      <c r="Q131" s="245">
        <v>3945.02</v>
      </c>
      <c r="S131" s="87">
        <f t="shared" si="10"/>
        <v>3851658.6038553538</v>
      </c>
      <c r="T131" s="61">
        <f>VLOOKUP($A131,$AD$3:$AF$138,3,FALSE)</f>
        <v>4059972.7977237445</v>
      </c>
      <c r="Z131" s="49">
        <v>138</v>
      </c>
      <c r="AA131" s="51" t="s">
        <v>420</v>
      </c>
      <c r="AB131" s="95">
        <v>1174823.2894373273</v>
      </c>
      <c r="AC131" s="91"/>
      <c r="AD131" s="51">
        <v>138</v>
      </c>
      <c r="AE131" s="51" t="s">
        <v>420</v>
      </c>
      <c r="AF131" s="95">
        <v>1185922.0982000562</v>
      </c>
      <c r="AH131" s="95"/>
      <c r="AI131" s="232">
        <v>138</v>
      </c>
      <c r="AJ131" s="98" t="s">
        <v>420</v>
      </c>
      <c r="AK131" s="98">
        <v>0</v>
      </c>
      <c r="AL131" s="243">
        <v>52578.514731245858</v>
      </c>
      <c r="AM131" s="51" t="s">
        <v>625</v>
      </c>
    </row>
    <row r="132" spans="1:43" x14ac:dyDescent="0.2">
      <c r="A132" s="49">
        <v>140</v>
      </c>
      <c r="B132" s="213">
        <v>0</v>
      </c>
      <c r="C132" s="213">
        <v>0</v>
      </c>
      <c r="D132" s="213">
        <v>0</v>
      </c>
      <c r="E132" s="213">
        <v>0</v>
      </c>
      <c r="F132" s="213">
        <v>0</v>
      </c>
      <c r="G132" s="213">
        <v>0</v>
      </c>
      <c r="H132" s="206" t="s">
        <v>597</v>
      </c>
      <c r="I132" s="213">
        <v>0</v>
      </c>
      <c r="J132" s="213">
        <v>0</v>
      </c>
      <c r="K132" s="213">
        <v>0</v>
      </c>
      <c r="L132" s="213">
        <v>0</v>
      </c>
      <c r="M132" s="216">
        <v>0</v>
      </c>
      <c r="N132" s="214">
        <v>0</v>
      </c>
      <c r="O132" s="204">
        <v>0</v>
      </c>
      <c r="P132" s="214">
        <v>0</v>
      </c>
      <c r="Q132" s="245">
        <v>0</v>
      </c>
      <c r="R132" s="61"/>
      <c r="S132" s="87" t="s">
        <v>597</v>
      </c>
      <c r="T132" s="61">
        <v>0</v>
      </c>
      <c r="Z132" s="49">
        <v>139</v>
      </c>
      <c r="AA132" s="51" t="s">
        <v>421</v>
      </c>
      <c r="AB132" s="95">
        <v>3851658.6038553538</v>
      </c>
      <c r="AC132" s="91"/>
      <c r="AD132" s="51">
        <v>139</v>
      </c>
      <c r="AE132" s="51" t="s">
        <v>421</v>
      </c>
      <c r="AF132" s="95">
        <v>4059972.7977237445</v>
      </c>
      <c r="AH132" s="95"/>
      <c r="AI132" s="232">
        <v>139</v>
      </c>
      <c r="AJ132" s="51" t="s">
        <v>421</v>
      </c>
      <c r="AK132" s="204">
        <v>79309</v>
      </c>
      <c r="AL132" s="207">
        <v>15117.026169178524</v>
      </c>
    </row>
    <row r="133" spans="1:43" x14ac:dyDescent="0.2">
      <c r="A133" s="49">
        <v>142</v>
      </c>
      <c r="B133" s="203">
        <v>9119801.2915108968</v>
      </c>
      <c r="C133" s="204">
        <v>0</v>
      </c>
      <c r="D133" s="204">
        <v>0</v>
      </c>
      <c r="E133" s="204">
        <v>46779</v>
      </c>
      <c r="F133" s="204">
        <v>0</v>
      </c>
      <c r="G133" s="205">
        <v>9073022.2915108968</v>
      </c>
      <c r="H133" s="206">
        <v>2352258.7599999998</v>
      </c>
      <c r="I133" s="204">
        <v>1210091.1400000001</v>
      </c>
      <c r="J133" s="204">
        <v>0</v>
      </c>
      <c r="K133" s="204">
        <v>0</v>
      </c>
      <c r="L133" s="204">
        <v>0</v>
      </c>
      <c r="M133" s="207">
        <v>1210091.1400000001</v>
      </c>
      <c r="N133" s="205">
        <v>10859044.780000005</v>
      </c>
      <c r="O133" s="204">
        <v>34000</v>
      </c>
      <c r="P133" s="206">
        <v>23494416.971510902</v>
      </c>
      <c r="Q133" s="245">
        <v>2114.8200000000002</v>
      </c>
      <c r="S133" s="87">
        <f t="shared" si="10"/>
        <v>2249871.991936978</v>
      </c>
      <c r="T133" s="61">
        <f>VLOOKUP($A133,$AD$3:$AF$138,3,FALSE)</f>
        <v>2418867.2772169267</v>
      </c>
      <c r="Z133" s="49">
        <v>140</v>
      </c>
      <c r="AA133" s="51" t="s">
        <v>422</v>
      </c>
      <c r="AB133" s="95">
        <v>0</v>
      </c>
      <c r="AC133" s="91"/>
      <c r="AD133" s="51">
        <v>140</v>
      </c>
      <c r="AE133" s="51" t="s">
        <v>422</v>
      </c>
      <c r="AF133" s="95">
        <v>0</v>
      </c>
      <c r="AH133" s="95"/>
      <c r="AI133" s="232">
        <v>140</v>
      </c>
      <c r="AJ133" s="98" t="s">
        <v>422</v>
      </c>
      <c r="AK133" s="98">
        <v>0</v>
      </c>
      <c r="AL133" s="243">
        <v>0</v>
      </c>
      <c r="AM133" s="51" t="s">
        <v>624</v>
      </c>
    </row>
    <row r="134" spans="1:43" x14ac:dyDescent="0.2">
      <c r="A134" s="49">
        <v>143</v>
      </c>
      <c r="B134" s="203">
        <v>42804567.37193767</v>
      </c>
      <c r="C134" s="204">
        <v>0</v>
      </c>
      <c r="D134" s="204">
        <v>0</v>
      </c>
      <c r="E134" s="204">
        <v>7207.72</v>
      </c>
      <c r="F134" s="204">
        <v>0</v>
      </c>
      <c r="G134" s="205">
        <v>42797359.651937671</v>
      </c>
      <c r="H134" s="206">
        <v>7294878.5800000001</v>
      </c>
      <c r="I134" s="204">
        <v>5929471.4700000007</v>
      </c>
      <c r="J134" s="204">
        <v>0</v>
      </c>
      <c r="K134" s="204">
        <v>0</v>
      </c>
      <c r="L134" s="204">
        <v>3864.28</v>
      </c>
      <c r="M134" s="207">
        <v>5925607.1900000004</v>
      </c>
      <c r="N134" s="205">
        <v>46151635.710000016</v>
      </c>
      <c r="O134" s="204">
        <v>797</v>
      </c>
      <c r="P134" s="206">
        <v>102169481.13193768</v>
      </c>
      <c r="Q134" s="245">
        <v>7783.2900000000009</v>
      </c>
      <c r="S134" s="87">
        <f t="shared" si="10"/>
        <v>7913652.8234171616</v>
      </c>
      <c r="T134" s="61">
        <f>VLOOKUP($A134,$AD$3:$AF$138,3,FALSE)</f>
        <v>8254431.6065835785</v>
      </c>
      <c r="Z134" s="49">
        <v>142</v>
      </c>
      <c r="AA134" s="51" t="s">
        <v>423</v>
      </c>
      <c r="AB134" s="95">
        <v>2249871.991936978</v>
      </c>
      <c r="AC134" s="91"/>
      <c r="AD134" s="51">
        <v>142</v>
      </c>
      <c r="AE134" s="51" t="s">
        <v>423</v>
      </c>
      <c r="AF134" s="95">
        <v>2418867.2772169267</v>
      </c>
      <c r="AH134" s="95"/>
      <c r="AI134" s="232">
        <v>142</v>
      </c>
      <c r="AJ134" s="51" t="s">
        <v>423</v>
      </c>
      <c r="AK134" s="204">
        <v>38588</v>
      </c>
      <c r="AL134" s="207">
        <v>52514.371510899742</v>
      </c>
    </row>
    <row r="135" spans="1:43" x14ac:dyDescent="0.2">
      <c r="A135" s="49">
        <v>144</v>
      </c>
      <c r="B135" s="203">
        <v>22678078.584064871</v>
      </c>
      <c r="C135" s="204">
        <v>0</v>
      </c>
      <c r="D135" s="204">
        <v>0</v>
      </c>
      <c r="E135" s="204">
        <v>0</v>
      </c>
      <c r="F135" s="204">
        <v>0</v>
      </c>
      <c r="G135" s="205">
        <v>22678078.584064871</v>
      </c>
      <c r="H135" s="206">
        <v>2928367.82</v>
      </c>
      <c r="I135" s="204">
        <v>2552632.9199999995</v>
      </c>
      <c r="J135" s="204">
        <v>0</v>
      </c>
      <c r="K135" s="204">
        <v>0</v>
      </c>
      <c r="L135" s="204">
        <v>0</v>
      </c>
      <c r="M135" s="207">
        <v>2552632.9199999995</v>
      </c>
      <c r="N135" s="205">
        <v>12554679.23</v>
      </c>
      <c r="O135" s="204">
        <v>0</v>
      </c>
      <c r="P135" s="206">
        <v>40713758.55406487</v>
      </c>
      <c r="Q135" s="245">
        <v>3710.6700000000005</v>
      </c>
      <c r="S135" s="87">
        <f t="shared" si="10"/>
        <v>3241325.7702456024</v>
      </c>
      <c r="T135" s="61">
        <f>VLOOKUP($A135,$AD$3:$AF$138,3,FALSE)</f>
        <v>3423321.4513808964</v>
      </c>
      <c r="Z135" s="49">
        <v>143</v>
      </c>
      <c r="AA135" s="51" t="s">
        <v>424</v>
      </c>
      <c r="AB135" s="95">
        <v>7913652.8234171616</v>
      </c>
      <c r="AC135" s="91"/>
      <c r="AD135" s="51">
        <v>143</v>
      </c>
      <c r="AE135" s="51" t="s">
        <v>424</v>
      </c>
      <c r="AF135" s="95">
        <v>8254431.6065835785</v>
      </c>
      <c r="AH135" s="95"/>
      <c r="AI135" s="232">
        <v>143</v>
      </c>
      <c r="AJ135" s="51" t="s">
        <v>424</v>
      </c>
      <c r="AK135" s="204">
        <v>22016</v>
      </c>
      <c r="AL135" s="207">
        <v>43357.62193767578</v>
      </c>
    </row>
    <row r="136" spans="1:43" x14ac:dyDescent="0.2">
      <c r="A136" s="49">
        <v>202</v>
      </c>
      <c r="B136" s="203">
        <v>3724654.3569602831</v>
      </c>
      <c r="C136" s="204">
        <v>0</v>
      </c>
      <c r="D136" s="204">
        <v>0</v>
      </c>
      <c r="E136" s="204">
        <v>0</v>
      </c>
      <c r="F136" s="204">
        <v>0</v>
      </c>
      <c r="G136" s="205">
        <v>3724654.3569602831</v>
      </c>
      <c r="H136" s="206">
        <v>516764.39</v>
      </c>
      <c r="I136" s="204">
        <v>789130.2300000001</v>
      </c>
      <c r="J136" s="204">
        <v>0</v>
      </c>
      <c r="K136" s="204">
        <v>0</v>
      </c>
      <c r="L136" s="204">
        <v>0</v>
      </c>
      <c r="M136" s="207">
        <v>789130.2300000001</v>
      </c>
      <c r="N136" s="205">
        <v>2365128.8999999994</v>
      </c>
      <c r="O136" s="204">
        <v>0</v>
      </c>
      <c r="P136" s="206">
        <v>7395677.8769602831</v>
      </c>
      <c r="Q136" s="245">
        <v>633.81000000000006</v>
      </c>
      <c r="S136" s="87">
        <f t="shared" si="10"/>
        <v>569883.67674312578</v>
      </c>
      <c r="T136" s="61">
        <f>VLOOKUP($A136,$AD$3:$AF$138,3,FALSE)</f>
        <v>573681.5859651342</v>
      </c>
      <c r="Z136" s="49">
        <v>144</v>
      </c>
      <c r="AA136" s="51" t="s">
        <v>425</v>
      </c>
      <c r="AB136" s="95">
        <v>3241325.7702456024</v>
      </c>
      <c r="AC136" s="91"/>
      <c r="AD136" s="51">
        <v>144</v>
      </c>
      <c r="AE136" s="51" t="s">
        <v>425</v>
      </c>
      <c r="AF136" s="95">
        <v>3423321.4513808964</v>
      </c>
      <c r="AH136" s="95"/>
      <c r="AI136" s="232">
        <v>144</v>
      </c>
      <c r="AJ136" s="51" t="s">
        <v>425</v>
      </c>
      <c r="AK136" s="204">
        <v>25089</v>
      </c>
      <c r="AL136" s="207">
        <v>6596.6640648707498</v>
      </c>
    </row>
    <row r="137" spans="1:43" ht="13.5" thickBot="1" x14ac:dyDescent="0.25">
      <c r="A137" s="49">
        <v>207</v>
      </c>
      <c r="B137" s="203">
        <v>4666317.290000001</v>
      </c>
      <c r="C137" s="204">
        <v>0</v>
      </c>
      <c r="D137" s="204">
        <v>0</v>
      </c>
      <c r="E137" s="204">
        <v>0</v>
      </c>
      <c r="F137" s="204">
        <v>0</v>
      </c>
      <c r="G137" s="205">
        <v>4666317.290000001</v>
      </c>
      <c r="H137" s="206">
        <v>654282.81000000006</v>
      </c>
      <c r="I137" s="204">
        <v>427694.12</v>
      </c>
      <c r="J137" s="204">
        <v>0</v>
      </c>
      <c r="K137" s="204">
        <v>0</v>
      </c>
      <c r="L137" s="204">
        <v>0</v>
      </c>
      <c r="M137" s="207">
        <v>427694.12</v>
      </c>
      <c r="N137" s="205">
        <v>4682799.7499999972</v>
      </c>
      <c r="O137" s="204">
        <v>35323.06</v>
      </c>
      <c r="P137" s="206">
        <v>10431093.969999999</v>
      </c>
      <c r="Q137" s="245">
        <v>808.74</v>
      </c>
      <c r="S137" s="219">
        <f t="shared" si="10"/>
        <v>751455.44756664545</v>
      </c>
      <c r="T137" s="62">
        <f>VLOOKUP($A137,$AD$3:$AF$138,3,FALSE)</f>
        <v>772118.98701209051</v>
      </c>
      <c r="Z137" s="49">
        <v>202</v>
      </c>
      <c r="AA137" s="51" t="s">
        <v>426</v>
      </c>
      <c r="AB137" s="95">
        <v>569883.67674312578</v>
      </c>
      <c r="AC137" s="91"/>
      <c r="AD137" s="51">
        <v>202</v>
      </c>
      <c r="AE137" s="51" t="s">
        <v>426</v>
      </c>
      <c r="AF137" s="95">
        <v>573681.5859651342</v>
      </c>
      <c r="AH137" s="95"/>
      <c r="AI137" s="232">
        <v>202</v>
      </c>
      <c r="AJ137" s="51" t="s">
        <v>426</v>
      </c>
      <c r="AK137" s="204">
        <v>23512</v>
      </c>
      <c r="AL137" s="207">
        <v>11501.766960282657</v>
      </c>
    </row>
    <row r="138" spans="1:43" s="53" customFormat="1" x14ac:dyDescent="0.2">
      <c r="A138" s="54" t="s">
        <v>597</v>
      </c>
      <c r="B138" s="55">
        <v>5434664256.8599997</v>
      </c>
      <c r="C138" s="55">
        <v>16282489.130000003</v>
      </c>
      <c r="D138" s="55">
        <v>11707962.000000002</v>
      </c>
      <c r="E138" s="55">
        <v>53207809.820000008</v>
      </c>
      <c r="F138" s="55">
        <v>27969602.929999996</v>
      </c>
      <c r="G138" s="55">
        <v>5358061371.2399969</v>
      </c>
      <c r="H138" s="55">
        <v>1353472785.8899992</v>
      </c>
      <c r="I138" s="55">
        <v>1119241768.79</v>
      </c>
      <c r="J138" s="55">
        <v>200200.95</v>
      </c>
      <c r="K138" s="55">
        <v>71175.539999999994</v>
      </c>
      <c r="L138" s="55">
        <v>4171709.1699999995</v>
      </c>
      <c r="M138" s="55">
        <v>1115199085.0300002</v>
      </c>
      <c r="N138" s="55">
        <v>8310576452.0099955</v>
      </c>
      <c r="O138" s="55">
        <v>198404777.18000004</v>
      </c>
      <c r="P138" s="55">
        <v>16137309694.170008</v>
      </c>
      <c r="Q138" s="64">
        <f>SUM(Q2:Q137)-Q126-Q130-Q48</f>
        <v>1271146.1500000004</v>
      </c>
      <c r="R138" s="51"/>
      <c r="S138" s="85">
        <f>SUM(S2:S137)</f>
        <v>1421600000</v>
      </c>
      <c r="T138" s="85">
        <f>SUM(T1:T137)</f>
        <v>1486302402.9999998</v>
      </c>
      <c r="Z138" s="49">
        <v>207</v>
      </c>
      <c r="AA138" s="51" t="s">
        <v>427</v>
      </c>
      <c r="AB138" s="95">
        <v>751455.44756664545</v>
      </c>
      <c r="AC138" s="91"/>
      <c r="AD138" s="51">
        <v>207</v>
      </c>
      <c r="AE138" s="51" t="s">
        <v>427</v>
      </c>
      <c r="AF138" s="95">
        <v>772118.98701209051</v>
      </c>
      <c r="AH138" s="95"/>
      <c r="AI138" s="232">
        <v>207</v>
      </c>
      <c r="AJ138" s="51" t="s">
        <v>427</v>
      </c>
      <c r="AK138" s="204">
        <v>62318</v>
      </c>
      <c r="AL138" s="207">
        <v>0</v>
      </c>
      <c r="AO138" s="51"/>
      <c r="AP138" s="51"/>
    </row>
    <row r="139" spans="1:43" x14ac:dyDescent="0.2">
      <c r="A139" s="218"/>
      <c r="B139" s="217"/>
      <c r="C139" s="217"/>
      <c r="D139" s="217"/>
      <c r="E139" s="217"/>
      <c r="F139" s="217"/>
      <c r="G139" s="217"/>
      <c r="H139" s="217"/>
      <c r="I139" s="217"/>
      <c r="J139" s="217"/>
      <c r="K139" s="217"/>
      <c r="L139" s="217"/>
      <c r="M139" s="217"/>
      <c r="N139" s="217"/>
      <c r="O139" s="217"/>
      <c r="P139" s="217"/>
      <c r="Q139" s="50"/>
      <c r="S139" s="63"/>
      <c r="T139" s="63"/>
      <c r="AB139" s="95"/>
      <c r="AF139" s="95"/>
      <c r="AQ139" s="230"/>
    </row>
    <row r="140" spans="1:43" x14ac:dyDescent="0.2">
      <c r="B140" s="55"/>
      <c r="C140" s="55"/>
      <c r="D140" s="55"/>
      <c r="E140" s="55"/>
      <c r="F140" s="55"/>
      <c r="G140" s="55"/>
      <c r="H140" s="55"/>
      <c r="I140" s="55"/>
      <c r="J140" s="55"/>
      <c r="K140" s="55"/>
      <c r="L140" s="55"/>
      <c r="M140" s="55"/>
      <c r="N140" s="55"/>
      <c r="O140" s="56"/>
      <c r="P140" s="56"/>
      <c r="Q140" s="88"/>
      <c r="S140" s="89"/>
      <c r="T140" s="19"/>
      <c r="AA140" s="51" t="s">
        <v>605</v>
      </c>
      <c r="AB140" s="95">
        <f>SUM(AB3:AB139)</f>
        <v>1421599999.9999998</v>
      </c>
      <c r="AE140" s="51" t="s">
        <v>605</v>
      </c>
      <c r="AF140" s="95">
        <f>SUM(AF3:AF139)</f>
        <v>1486302402.9999995</v>
      </c>
      <c r="AJ140" s="51" t="s">
        <v>605</v>
      </c>
      <c r="AK140" s="51">
        <f>SUM(AK3:AK138)</f>
        <v>8838911</v>
      </c>
      <c r="AL140" s="51">
        <f>SUM(AL3:AL138)</f>
        <v>15813075.000000006</v>
      </c>
    </row>
    <row r="141" spans="1:43" x14ac:dyDescent="0.2">
      <c r="Q141" s="19"/>
      <c r="S141" s="19"/>
      <c r="T141" s="19"/>
      <c r="AB141" s="95">
        <f>AB140-1421600000</f>
        <v>0</v>
      </c>
      <c r="AF141" s="95">
        <f>AF140-1486302403</f>
        <v>0</v>
      </c>
      <c r="AK141" s="50"/>
      <c r="AL141" s="50"/>
    </row>
    <row r="142" spans="1:43" x14ac:dyDescent="0.2">
      <c r="Q142" s="19"/>
      <c r="S142" s="19"/>
      <c r="T142" s="19"/>
    </row>
    <row r="143" spans="1:43" x14ac:dyDescent="0.2">
      <c r="Q143" s="19"/>
      <c r="S143" s="19"/>
      <c r="T143" s="19"/>
    </row>
    <row r="168" spans="18:18" x14ac:dyDescent="0.2">
      <c r="R168" s="53"/>
    </row>
    <row r="526" spans="2:2" x14ac:dyDescent="0.2">
      <c r="B526" s="58"/>
    </row>
    <row r="527" spans="2:2" x14ac:dyDescent="0.2">
      <c r="B527" s="58"/>
    </row>
    <row r="528" spans="2:2" x14ac:dyDescent="0.2">
      <c r="B528" s="58"/>
    </row>
    <row r="529" spans="2:2" x14ac:dyDescent="0.2">
      <c r="B529" s="58"/>
    </row>
    <row r="530" spans="2:2" x14ac:dyDescent="0.2">
      <c r="B530" s="58"/>
    </row>
    <row r="531" spans="2:2" x14ac:dyDescent="0.2">
      <c r="B531" s="58"/>
    </row>
    <row r="532" spans="2:2" x14ac:dyDescent="0.2">
      <c r="B532" s="58"/>
    </row>
    <row r="533" spans="2:2" x14ac:dyDescent="0.2">
      <c r="B533" s="58"/>
    </row>
    <row r="534" spans="2:2" x14ac:dyDescent="0.2">
      <c r="B534" s="58"/>
    </row>
    <row r="535" spans="2:2" x14ac:dyDescent="0.2">
      <c r="B535" s="58"/>
    </row>
    <row r="536" spans="2:2" x14ac:dyDescent="0.2">
      <c r="B536" s="58"/>
    </row>
    <row r="537" spans="2:2" x14ac:dyDescent="0.2">
      <c r="B537" s="58"/>
    </row>
    <row r="538" spans="2:2" x14ac:dyDescent="0.2">
      <c r="B538" s="58"/>
    </row>
    <row r="539" spans="2:2" x14ac:dyDescent="0.2">
      <c r="B539" s="58"/>
    </row>
    <row r="540" spans="2:2" x14ac:dyDescent="0.2">
      <c r="B540" s="58"/>
    </row>
    <row r="541" spans="2:2" x14ac:dyDescent="0.2">
      <c r="B541" s="58"/>
    </row>
    <row r="542" spans="2:2" x14ac:dyDescent="0.2">
      <c r="B542" s="58"/>
    </row>
    <row r="543" spans="2:2" x14ac:dyDescent="0.2">
      <c r="B543" s="58"/>
    </row>
    <row r="544" spans="2:2" x14ac:dyDescent="0.2">
      <c r="B544" s="58"/>
    </row>
    <row r="545" spans="2:2" x14ac:dyDescent="0.2">
      <c r="B545" s="58"/>
    </row>
    <row r="546" spans="2:2" x14ac:dyDescent="0.2">
      <c r="B546" s="58"/>
    </row>
    <row r="547" spans="2:2" x14ac:dyDescent="0.2">
      <c r="B547" s="58"/>
    </row>
    <row r="548" spans="2:2" x14ac:dyDescent="0.2">
      <c r="B548" s="58"/>
    </row>
    <row r="549" spans="2:2" x14ac:dyDescent="0.2">
      <c r="B549" s="58"/>
    </row>
    <row r="550" spans="2:2" x14ac:dyDescent="0.2">
      <c r="B550" s="58"/>
    </row>
    <row r="551" spans="2:2" x14ac:dyDescent="0.2">
      <c r="B551" s="58"/>
    </row>
    <row r="552" spans="2:2" x14ac:dyDescent="0.2">
      <c r="B552" s="58"/>
    </row>
    <row r="553" spans="2:2" x14ac:dyDescent="0.2">
      <c r="B553" s="58"/>
    </row>
    <row r="554" spans="2:2" x14ac:dyDescent="0.2">
      <c r="B554" s="58"/>
    </row>
    <row r="555" spans="2:2" x14ac:dyDescent="0.2">
      <c r="B555" s="58"/>
    </row>
    <row r="556" spans="2:2" x14ac:dyDescent="0.2">
      <c r="B556" s="58"/>
    </row>
    <row r="557" spans="2:2" x14ac:dyDescent="0.2">
      <c r="B557" s="58"/>
    </row>
    <row r="558" spans="2:2" x14ac:dyDescent="0.2">
      <c r="B558" s="58"/>
    </row>
    <row r="559" spans="2:2" x14ac:dyDescent="0.2">
      <c r="B559" s="58"/>
    </row>
    <row r="560" spans="2:2" x14ac:dyDescent="0.2">
      <c r="B560" s="58"/>
    </row>
    <row r="561" spans="2:2" x14ac:dyDescent="0.2">
      <c r="B561" s="58"/>
    </row>
    <row r="562" spans="2:2" x14ac:dyDescent="0.2">
      <c r="B562" s="58"/>
    </row>
    <row r="563" spans="2:2" x14ac:dyDescent="0.2">
      <c r="B563" s="58"/>
    </row>
    <row r="564" spans="2:2" x14ac:dyDescent="0.2">
      <c r="B564" s="58"/>
    </row>
    <row r="565" spans="2:2" x14ac:dyDescent="0.2">
      <c r="B565" s="58"/>
    </row>
    <row r="566" spans="2:2" x14ac:dyDescent="0.2">
      <c r="B566" s="58"/>
    </row>
    <row r="567" spans="2:2" x14ac:dyDescent="0.2">
      <c r="B567" s="58"/>
    </row>
    <row r="568" spans="2:2" x14ac:dyDescent="0.2">
      <c r="B568" s="58"/>
    </row>
    <row r="569" spans="2:2" x14ac:dyDescent="0.2">
      <c r="B569" s="58"/>
    </row>
    <row r="570" spans="2:2" x14ac:dyDescent="0.2">
      <c r="B570" s="58"/>
    </row>
    <row r="571" spans="2:2" x14ac:dyDescent="0.2">
      <c r="B571" s="58"/>
    </row>
    <row r="572" spans="2:2" x14ac:dyDescent="0.2">
      <c r="B572" s="58"/>
    </row>
    <row r="573" spans="2:2" x14ac:dyDescent="0.2">
      <c r="B573" s="58"/>
    </row>
    <row r="574" spans="2:2" x14ac:dyDescent="0.2">
      <c r="B574" s="58"/>
    </row>
    <row r="575" spans="2:2" x14ac:dyDescent="0.2">
      <c r="B575" s="58"/>
    </row>
    <row r="576" spans="2:2" x14ac:dyDescent="0.2">
      <c r="B576" s="58"/>
    </row>
    <row r="577" spans="2:2" x14ac:dyDescent="0.2">
      <c r="B577" s="58"/>
    </row>
    <row r="578" spans="2:2" x14ac:dyDescent="0.2">
      <c r="B578" s="58"/>
    </row>
    <row r="579" spans="2:2" x14ac:dyDescent="0.2">
      <c r="B579" s="58"/>
    </row>
    <row r="580" spans="2:2" x14ac:dyDescent="0.2">
      <c r="B580" s="58"/>
    </row>
    <row r="581" spans="2:2" x14ac:dyDescent="0.2">
      <c r="B581" s="58"/>
    </row>
    <row r="582" spans="2:2" x14ac:dyDescent="0.2">
      <c r="B582" s="58"/>
    </row>
    <row r="583" spans="2:2" x14ac:dyDescent="0.2">
      <c r="B583" s="58"/>
    </row>
    <row r="584" spans="2:2" x14ac:dyDescent="0.2">
      <c r="B584" s="58"/>
    </row>
    <row r="585" spans="2:2" x14ac:dyDescent="0.2">
      <c r="B585" s="58"/>
    </row>
    <row r="586" spans="2:2" x14ac:dyDescent="0.2">
      <c r="B586" s="58"/>
    </row>
    <row r="587" spans="2:2" x14ac:dyDescent="0.2">
      <c r="B587" s="58"/>
    </row>
    <row r="588" spans="2:2" x14ac:dyDescent="0.2">
      <c r="B588" s="58"/>
    </row>
    <row r="589" spans="2:2" x14ac:dyDescent="0.2">
      <c r="B589" s="58"/>
    </row>
    <row r="590" spans="2:2" x14ac:dyDescent="0.2">
      <c r="B590" s="58"/>
    </row>
    <row r="591" spans="2:2" x14ac:dyDescent="0.2">
      <c r="B591" s="58"/>
    </row>
    <row r="592" spans="2:2" x14ac:dyDescent="0.2">
      <c r="B592" s="58"/>
    </row>
    <row r="593" spans="2:2" x14ac:dyDescent="0.2">
      <c r="B593" s="58"/>
    </row>
    <row r="594" spans="2:2" x14ac:dyDescent="0.2">
      <c r="B594" s="58"/>
    </row>
  </sheetData>
  <sheetProtection password="EA99" sheet="1" objects="1" scenarios="1"/>
  <mergeCells count="2">
    <mergeCell ref="Z1:AB1"/>
    <mergeCell ref="AD1:AF1"/>
  </mergeCells>
  <phoneticPr fontId="0" type="noConversion"/>
  <conditionalFormatting sqref="Q140:Q65536 S140:T65536 R1:R1048576 B139:Q139 A1:Q1 A138:B1048576 C138:P65536 S1:T137 AK138:AM138 AN125 AN131 AM125:AM133 AK132:AL137 AM31:AM49 AM12 U139:AN140 U2:AN2 AQ2:IV140 U1:IV1 A2:A137 U3:Y138 AA3:AH138 AJ49 AJ132:AJ138 AJ50:AL131 AJ12:AL48 U141:IV1048576 AJ3:AM11">
    <cfRule type="cellIs" dxfId="7" priority="8" stopIfTrue="1" operator="lessThan">
      <formula>0</formula>
    </cfRule>
  </conditionalFormatting>
  <conditionalFormatting sqref="B2:P137">
    <cfRule type="cellIs" dxfId="6" priority="7" stopIfTrue="1" operator="lessThan">
      <formula>0</formula>
    </cfRule>
  </conditionalFormatting>
  <conditionalFormatting sqref="AO2:AP140">
    <cfRule type="cellIs" dxfId="5" priority="6" stopIfTrue="1" operator="lessThan">
      <formula>0</formula>
    </cfRule>
  </conditionalFormatting>
  <conditionalFormatting sqref="Z4:Z138">
    <cfRule type="cellIs" dxfId="4" priority="5" stopIfTrue="1" operator="lessThan">
      <formula>0</formula>
    </cfRule>
  </conditionalFormatting>
  <conditionalFormatting sqref="Z3">
    <cfRule type="cellIs" dxfId="3" priority="4" stopIfTrue="1" operator="lessThan">
      <formula>0</formula>
    </cfRule>
  </conditionalFormatting>
  <conditionalFormatting sqref="AI4:AI138">
    <cfRule type="cellIs" dxfId="2" priority="3" stopIfTrue="1" operator="lessThan">
      <formula>0</formula>
    </cfRule>
  </conditionalFormatting>
  <conditionalFormatting sqref="AI3">
    <cfRule type="cellIs" dxfId="1" priority="2" stopIfTrue="1" operator="lessThan">
      <formula>0</formula>
    </cfRule>
  </conditionalFormatting>
  <conditionalFormatting sqref="Q2:Q137">
    <cfRule type="cellIs" dxfId="0" priority="1" stopIfTrue="1" operator="lessThan">
      <formula>0</formula>
    </cfRule>
  </conditionalFormatting>
  <pageMargins left="0.75" right="0.75" top="1" bottom="1" header="0.5" footer="0.5"/>
  <pageSetup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FY 2018 TABLE 15</vt:lpstr>
      <vt:lpstr>Fiscal Year 2018 Worksheet</vt:lpstr>
      <vt:lpstr>Fiscal Year 2019 Worksheet</vt:lpstr>
      <vt:lpstr>Fiscal Year 2020 Worksheet</vt:lpstr>
      <vt:lpstr>Division Source</vt:lpstr>
      <vt:lpstr>Source Data</vt:lpstr>
      <vt:lpstr>'Fiscal Year 2018 Worksheet'!Print_Area</vt:lpstr>
      <vt:lpstr>'Fiscal Year 2019 Worksheet'!Print_Area</vt:lpstr>
      <vt:lpstr>'Fiscal Year 2020 Worksheet'!Print_Area</vt:lpstr>
      <vt:lpstr>'FY 2018 TABLE 15'!Print_Area</vt:lpstr>
      <vt:lpstr>'FY 2018 TABLE 15'!Print_Titles</vt:lpstr>
    </vt:vector>
  </TitlesOfParts>
  <Company>Commonwealth of Virginia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final-fy18-table-15</dc:title>
  <dc:creator>Brian K. Logwood</dc:creator>
  <cp:lastModifiedBy>Stephanie Caldwell</cp:lastModifiedBy>
  <cp:lastPrinted>2018-04-17T16:38:26Z</cp:lastPrinted>
  <dcterms:created xsi:type="dcterms:W3CDTF">2002-03-29T22:05:40Z</dcterms:created>
  <dcterms:modified xsi:type="dcterms:W3CDTF">2019-03-26T20:16:23Z</dcterms:modified>
</cp:coreProperties>
</file>